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63c07c3ba1744a1a/Desktop/EXCEL/"/>
    </mc:Choice>
  </mc:AlternateContent>
  <xr:revisionPtr revIDLastSave="27" documentId="8_{D440D284-E0F9-4453-A3C7-E25498952ACE}" xr6:coauthVersionLast="47" xr6:coauthVersionMax="47" xr10:uidLastSave="{CC6903EB-1A1F-4A9E-AD52-8FCC8A48FD80}"/>
  <bookViews>
    <workbookView xWindow="-120" yWindow="-120" windowWidth="20730" windowHeight="11040" firstSheet="4" activeTab="4" xr2:uid="{A29DA511-24DC-4571-9D19-C799A7011152}"/>
  </bookViews>
  <sheets>
    <sheet name="Detail1" sheetId="3" state="hidden" r:id="rId1"/>
    <sheet name="Students Performance " sheetId="1" state="hidden" r:id="rId2"/>
    <sheet name="Pivot Table 1st" sheetId="2" state="hidden" r:id="rId3"/>
    <sheet name="Pivot Table 2nd" sheetId="5" state="hidden" r:id="rId4"/>
    <sheet name="DASHBOARD" sheetId="4" r:id="rId5"/>
  </sheets>
  <definedNames>
    <definedName name="Slicer_Grade">#N/A</definedName>
    <definedName name="Slicer_High_School_Type">#N/A</definedName>
    <definedName name="Slicer_Sex">#N/A</definedName>
    <definedName name="Slicer_Student_Age">#N/A</definedName>
    <definedName name="Slicer_Student_ID">#N/A</definedName>
    <definedName name="Slicer_Transportat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5" l="1"/>
  <c r="G3" i="5"/>
  <c r="A2" i="5"/>
</calcChain>
</file>

<file path=xl/sharedStrings.xml><?xml version="1.0" encoding="utf-8"?>
<sst xmlns="http://schemas.openxmlformats.org/spreadsheetml/2006/main" count="2260" uniqueCount="195">
  <si>
    <t>Student_ID</t>
  </si>
  <si>
    <t>Student_Age</t>
  </si>
  <si>
    <t>Sex</t>
  </si>
  <si>
    <t>High_School_Type</t>
  </si>
  <si>
    <t>Scholarship</t>
  </si>
  <si>
    <t>Additional_Work</t>
  </si>
  <si>
    <t>Sports_activity</t>
  </si>
  <si>
    <t>Transportation</t>
  </si>
  <si>
    <t>Weekly_Study_Hours</t>
  </si>
  <si>
    <t>Attendance</t>
  </si>
  <si>
    <t>Reading</t>
  </si>
  <si>
    <t>Notes</t>
  </si>
  <si>
    <t>Listening_in_Class</t>
  </si>
  <si>
    <t>Project_work</t>
  </si>
  <si>
    <t>Grade</t>
  </si>
  <si>
    <t>STUDENT1</t>
  </si>
  <si>
    <t>19-22</t>
  </si>
  <si>
    <t>Male</t>
  </si>
  <si>
    <t>Other</t>
  </si>
  <si>
    <t>Yes</t>
  </si>
  <si>
    <t>No</t>
  </si>
  <si>
    <t>Private</t>
  </si>
  <si>
    <t>Always</t>
  </si>
  <si>
    <t>AA</t>
  </si>
  <si>
    <t>STUDENT2</t>
  </si>
  <si>
    <t>STUDENT3</t>
  </si>
  <si>
    <t>State</t>
  </si>
  <si>
    <t>Never</t>
  </si>
  <si>
    <t>STUDENT4</t>
  </si>
  <si>
    <t>Female</t>
  </si>
  <si>
    <t>Bus</t>
  </si>
  <si>
    <t>STUDENT5</t>
  </si>
  <si>
    <t>STUDENT6</t>
  </si>
  <si>
    <t>BA</t>
  </si>
  <si>
    <t>STUDENT7</t>
  </si>
  <si>
    <t>CC</t>
  </si>
  <si>
    <t>STUDENT8</t>
  </si>
  <si>
    <t>Sometimes</t>
  </si>
  <si>
    <t>STUDENT9</t>
  </si>
  <si>
    <t>STUDENT10</t>
  </si>
  <si>
    <t>Fail</t>
  </si>
  <si>
    <t>STUDENT11</t>
  </si>
  <si>
    <t>STUDENT12</t>
  </si>
  <si>
    <t>STUDENT13</t>
  </si>
  <si>
    <t>STUDENT14</t>
  </si>
  <si>
    <t>STUDENT15</t>
  </si>
  <si>
    <t>23-27</t>
  </si>
  <si>
    <t>STUDENT16</t>
  </si>
  <si>
    <t>STUDENT17</t>
  </si>
  <si>
    <t>STUDENT18</t>
  </si>
  <si>
    <t>STUDENT19</t>
  </si>
  <si>
    <t>STUDENT20</t>
  </si>
  <si>
    <t>BB</t>
  </si>
  <si>
    <t>STUDENT21</t>
  </si>
  <si>
    <t>STUDENT22</t>
  </si>
  <si>
    <t>STUDENT23</t>
  </si>
  <si>
    <t>STUDENT24</t>
  </si>
  <si>
    <t>STUDENT25</t>
  </si>
  <si>
    <t>STUDENT26</t>
  </si>
  <si>
    <t>STUDENT27</t>
  </si>
  <si>
    <t>STUDENT28</t>
  </si>
  <si>
    <t>STUDENT29</t>
  </si>
  <si>
    <t>STUDENT30</t>
  </si>
  <si>
    <t>STUDENT31</t>
  </si>
  <si>
    <t>STUDENT32</t>
  </si>
  <si>
    <t>STUDENT33</t>
  </si>
  <si>
    <t>STUDENT34</t>
  </si>
  <si>
    <t>STUDENT35</t>
  </si>
  <si>
    <t>STUDENT36</t>
  </si>
  <si>
    <t>STUDENT37</t>
  </si>
  <si>
    <t>STUDENT38</t>
  </si>
  <si>
    <t>STUDENT39</t>
  </si>
  <si>
    <t>STUDENT40</t>
  </si>
  <si>
    <t>STUDENT41</t>
  </si>
  <si>
    <t>STUDENT42</t>
  </si>
  <si>
    <t>STUDENT43</t>
  </si>
  <si>
    <t>STUDENT44</t>
  </si>
  <si>
    <t>CB</t>
  </si>
  <si>
    <t>STUDENT45</t>
  </si>
  <si>
    <t>STUDENT46</t>
  </si>
  <si>
    <t>STUDENT47</t>
  </si>
  <si>
    <t>STUDENT48</t>
  </si>
  <si>
    <t>STUDENT49</t>
  </si>
  <si>
    <t>STUDENT50</t>
  </si>
  <si>
    <t>STUDENT51</t>
  </si>
  <si>
    <t>STUDENT52</t>
  </si>
  <si>
    <t>STUDENT53</t>
  </si>
  <si>
    <t>STUDENT54</t>
  </si>
  <si>
    <t>STUDENT55</t>
  </si>
  <si>
    <t>STUDENT56</t>
  </si>
  <si>
    <t>STUDENT57</t>
  </si>
  <si>
    <t>STUDENT58</t>
  </si>
  <si>
    <t>STUDENT59</t>
  </si>
  <si>
    <t>STUDENT60</t>
  </si>
  <si>
    <t>STUDENT61</t>
  </si>
  <si>
    <t>STUDENT62</t>
  </si>
  <si>
    <t>STUDENT63</t>
  </si>
  <si>
    <t>STUDENT64</t>
  </si>
  <si>
    <t>STUDENT65</t>
  </si>
  <si>
    <t>STUDENT66</t>
  </si>
  <si>
    <t>STUDENT67</t>
  </si>
  <si>
    <t>STUDENT68</t>
  </si>
  <si>
    <t>STUDENT69</t>
  </si>
  <si>
    <t>STUDENT70</t>
  </si>
  <si>
    <t>STUDENT71</t>
  </si>
  <si>
    <t>DD</t>
  </si>
  <si>
    <t>STUDENT72</t>
  </si>
  <si>
    <t>DC</t>
  </si>
  <si>
    <t>STUDENT73</t>
  </si>
  <si>
    <t>STUDENT74</t>
  </si>
  <si>
    <t>STUDENT75</t>
  </si>
  <si>
    <t>STUDENT76</t>
  </si>
  <si>
    <t>STUDENT77</t>
  </si>
  <si>
    <t>STUDENT78</t>
  </si>
  <si>
    <t>STUDENT79</t>
  </si>
  <si>
    <t>STUDENT80</t>
  </si>
  <si>
    <t>STUDENT81</t>
  </si>
  <si>
    <t>STUDENT82</t>
  </si>
  <si>
    <t>STUDENT83</t>
  </si>
  <si>
    <t>STUDENT84</t>
  </si>
  <si>
    <t>STUDENT85</t>
  </si>
  <si>
    <t>STUDENT86</t>
  </si>
  <si>
    <t>STUDENT87</t>
  </si>
  <si>
    <t>STUDENT88</t>
  </si>
  <si>
    <t>STUDENT89</t>
  </si>
  <si>
    <t>STUDENT90</t>
  </si>
  <si>
    <t>STUDENT91</t>
  </si>
  <si>
    <t>STUDENT92</t>
  </si>
  <si>
    <t>STUDENT93</t>
  </si>
  <si>
    <t>STUDENT94</t>
  </si>
  <si>
    <t>None</t>
  </si>
  <si>
    <t>STUDENT95</t>
  </si>
  <si>
    <t>STUDENT96</t>
  </si>
  <si>
    <t>STUDENT97</t>
  </si>
  <si>
    <t>STUDENT98</t>
  </si>
  <si>
    <t>STUDENT99</t>
  </si>
  <si>
    <t>STUDENT100</t>
  </si>
  <si>
    <t>STUDENT101</t>
  </si>
  <si>
    <t>STUDENT102</t>
  </si>
  <si>
    <t>STUDENT103</t>
  </si>
  <si>
    <t>STUDENT104</t>
  </si>
  <si>
    <t>STUDENT105</t>
  </si>
  <si>
    <t>STUDENT106</t>
  </si>
  <si>
    <t>STUDENT107</t>
  </si>
  <si>
    <t>STUDENT108</t>
  </si>
  <si>
    <t>STUDENT109</t>
  </si>
  <si>
    <t>STUDENT110</t>
  </si>
  <si>
    <t>STUDENT111</t>
  </si>
  <si>
    <t>STUDENT112</t>
  </si>
  <si>
    <t>STUDENT113</t>
  </si>
  <si>
    <t>STUDENT114</t>
  </si>
  <si>
    <t>STUDENT115</t>
  </si>
  <si>
    <t>STUDENT116</t>
  </si>
  <si>
    <t>STUDENT117</t>
  </si>
  <si>
    <t>STUDENT118</t>
  </si>
  <si>
    <t>STUDENT119</t>
  </si>
  <si>
    <t>STUDENT120</t>
  </si>
  <si>
    <t>STUDENT121</t>
  </si>
  <si>
    <t>STUDENT122</t>
  </si>
  <si>
    <t>STUDENT123</t>
  </si>
  <si>
    <t>STUDENT124</t>
  </si>
  <si>
    <t>STUDENT125</t>
  </si>
  <si>
    <t>STUDENT126</t>
  </si>
  <si>
    <t>STUDENT127</t>
  </si>
  <si>
    <t>STUDENT128</t>
  </si>
  <si>
    <t>STUDENT129</t>
  </si>
  <si>
    <t>STUDENT130</t>
  </si>
  <si>
    <t>STUDENT131</t>
  </si>
  <si>
    <t>STUDENT132</t>
  </si>
  <si>
    <t>STUDENT133</t>
  </si>
  <si>
    <t>STUDENT134</t>
  </si>
  <si>
    <t>STUDENT135</t>
  </si>
  <si>
    <t>STUDENT136</t>
  </si>
  <si>
    <t>STUDENT137</t>
  </si>
  <si>
    <t>STUDENT138</t>
  </si>
  <si>
    <t>STUDENT139</t>
  </si>
  <si>
    <t>STUDENT140</t>
  </si>
  <si>
    <t>STUDENT141</t>
  </si>
  <si>
    <t>STUDENT142</t>
  </si>
  <si>
    <t>STUDENT143</t>
  </si>
  <si>
    <t>STUDENT144</t>
  </si>
  <si>
    <t>STUDENT145</t>
  </si>
  <si>
    <t>Row Labels</t>
  </si>
  <si>
    <t>Grand Total</t>
  </si>
  <si>
    <t>Count of Project_work</t>
  </si>
  <si>
    <t>Count of Sports_activity</t>
  </si>
  <si>
    <t>Sum of Weekly_Study_Hours</t>
  </si>
  <si>
    <t>Count of Attendance</t>
  </si>
  <si>
    <t>Details for Count of Attendance - High_School_Type: Other</t>
  </si>
  <si>
    <t>Count of Reading</t>
  </si>
  <si>
    <t>TOTAL STUDENT</t>
  </si>
  <si>
    <t>Count of Student_ID</t>
  </si>
  <si>
    <t>Count of Scholarship</t>
  </si>
  <si>
    <t>Sum of Scholarship</t>
  </si>
  <si>
    <t>Student Performance PPT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</si>
</sst>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16">
    <xf numFmtId="0" fontId="0" fillId="0" borderId="0" xfId="0"/>
    <xf numFmtId="9" fontId="0" fillId="0" borderId="0" xfId="0" applyNumberFormat="1"/>
    <xf numFmtId="0" fontId="16" fillId="0" borderId="0" xfId="0" applyFont="1"/>
    <xf numFmtId="0" fontId="0" fillId="0" borderId="0" xfId="0" pivotButton="1"/>
    <xf numFmtId="0" fontId="0" fillId="0" borderId="0" xfId="0" applyAlignment="1">
      <alignment horizontal="left"/>
    </xf>
    <xf numFmtId="0" fontId="18" fillId="0" borderId="0" xfId="0" applyFont="1"/>
    <xf numFmtId="10" fontId="0" fillId="0" borderId="0" xfId="0" applyNumberFormat="1"/>
    <xf numFmtId="0" fontId="19" fillId="0" borderId="0" xfId="42"/>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36A2"/>
      <color rgb="FFBDD3FF"/>
      <color rgb="FF8BB2FF"/>
      <color rgb="FF5D93FF"/>
      <color rgb="FF46F45B"/>
      <color rgb="FF09951A"/>
      <color rgb="FF0BBD20"/>
      <color rgb="FF0773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Performance .xlsx]Pivot Table 1st!PivotTable1</c:name>
    <c:fmtId val="0"/>
  </c:pivotSource>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r>
              <a:rPr lang="en-US" sz="900" b="1"/>
              <a:t>Student</a:t>
            </a:r>
            <a:r>
              <a:rPr lang="en-US" sz="900" b="1" baseline="0"/>
              <a:t> age by Sports activity</a:t>
            </a:r>
            <a:endParaRPr lang="en-US" sz="900" b="1"/>
          </a:p>
        </c:rich>
      </c:tx>
      <c:layout>
        <c:manualLayout>
          <c:xMode val="edge"/>
          <c:yMode val="edge"/>
          <c:x val="0.13780016364351216"/>
          <c:y val="2.8293537655746735E-2"/>
        </c:manualLayout>
      </c:layout>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1st'!$B$3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1st'!$A$4:$A$7</c:f>
              <c:strCache>
                <c:ptCount val="3"/>
                <c:pt idx="0">
                  <c:v>18</c:v>
                </c:pt>
                <c:pt idx="1">
                  <c:v>19-22</c:v>
                </c:pt>
                <c:pt idx="2">
                  <c:v>23-27</c:v>
                </c:pt>
              </c:strCache>
            </c:strRef>
          </c:cat>
          <c:val>
            <c:numRef>
              <c:f>'Pivot Table 1st'!$B$4:$B$7</c:f>
              <c:numCache>
                <c:formatCode>General</c:formatCode>
                <c:ptCount val="3"/>
                <c:pt idx="0">
                  <c:v>65</c:v>
                </c:pt>
                <c:pt idx="1">
                  <c:v>70</c:v>
                </c:pt>
                <c:pt idx="2">
                  <c:v>10</c:v>
                </c:pt>
              </c:numCache>
            </c:numRef>
          </c:val>
          <c:extLst>
            <c:ext xmlns:c16="http://schemas.microsoft.com/office/drawing/2014/chart" uri="{C3380CC4-5D6E-409C-BE32-E72D297353CC}">
              <c16:uniqueId val="{00000000-4961-4114-9174-E7D8AC389100}"/>
            </c:ext>
          </c:extLst>
        </c:ser>
        <c:dLbls>
          <c:dLblPos val="outEnd"/>
          <c:showLegendKey val="0"/>
          <c:showVal val="1"/>
          <c:showCatName val="0"/>
          <c:showSerName val="0"/>
          <c:showPercent val="0"/>
          <c:showBubbleSize val="0"/>
        </c:dLbls>
        <c:gapWidth val="219"/>
        <c:overlap val="-27"/>
        <c:axId val="1029046735"/>
        <c:axId val="1029036655"/>
      </c:barChart>
      <c:catAx>
        <c:axId val="102904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29036655"/>
        <c:crosses val="autoZero"/>
        <c:auto val="1"/>
        <c:lblAlgn val="ctr"/>
        <c:lblOffset val="100"/>
        <c:noMultiLvlLbl val="0"/>
      </c:catAx>
      <c:valAx>
        <c:axId val="1029036655"/>
        <c:scaling>
          <c:orientation val="minMax"/>
        </c:scaling>
        <c:delete val="1"/>
        <c:axPos val="l"/>
        <c:numFmt formatCode="General" sourceLinked="1"/>
        <c:majorTickMark val="none"/>
        <c:minorTickMark val="none"/>
        <c:tickLblPos val="nextTo"/>
        <c:crossAx val="1029046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Performance .xlsx]Pivot Table 1st!PivotTable2</c:name>
    <c:fmtId val="2"/>
  </c:pivotSource>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mn-lt"/>
                <a:ea typeface="+mn-ea"/>
                <a:cs typeface="+mn-cs"/>
              </a:defRPr>
            </a:pPr>
            <a:r>
              <a:rPr lang="en-US" sz="800" b="1"/>
              <a:t>High</a:t>
            </a:r>
            <a:r>
              <a:rPr lang="en-US" sz="800" b="1" baseline="0"/>
              <a:t> school by attendance</a:t>
            </a:r>
            <a:endParaRPr lang="en-US" sz="800" b="1"/>
          </a:p>
        </c:rich>
      </c:tx>
      <c:layout>
        <c:manualLayout>
          <c:xMode val="edge"/>
          <c:yMode val="edge"/>
          <c:x val="0.24066390041493776"/>
          <c:y val="2.7280470083312837E-2"/>
        </c:manualLayout>
      </c:layout>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3831258644536643"/>
              <c:y val="-0.102301762812423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1618257261410789"/>
              <c:y val="8.86615277707665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s>
    <c:plotArea>
      <c:layout>
        <c:manualLayout>
          <c:layoutTarget val="inner"/>
          <c:xMode val="edge"/>
          <c:yMode val="edge"/>
          <c:x val="0.1984166979127609"/>
          <c:y val="0.30707668416658845"/>
          <c:w val="0.49724834188257588"/>
          <c:h val="0.61297605225821072"/>
        </c:manualLayout>
      </c:layout>
      <c:doughnutChart>
        <c:varyColors val="1"/>
        <c:ser>
          <c:idx val="0"/>
          <c:order val="0"/>
          <c:tx>
            <c:strRef>
              <c:f>'Pivot Table 1st'!$B$17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E9FA-4440-8BD5-EA435CC3F9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FA-4440-8BD5-EA435CC3F9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7BB-4256-B684-EF76065E0236}"/>
              </c:ext>
            </c:extLst>
          </c:dPt>
          <c:dLbls>
            <c:dLbl>
              <c:idx val="0"/>
              <c:layout>
                <c:manualLayout>
                  <c:x val="0.13831258644536643"/>
                  <c:y val="-0.1023017628124231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9FA-4440-8BD5-EA435CC3F9ED}"/>
                </c:ext>
              </c:extLst>
            </c:dLbl>
            <c:dLbl>
              <c:idx val="1"/>
              <c:layout>
                <c:manualLayout>
                  <c:x val="0.11618257261410789"/>
                  <c:y val="8.866152777076659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9FA-4440-8BD5-EA435CC3F9E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1st'!$A$18:$A$21</c:f>
              <c:strCache>
                <c:ptCount val="3"/>
                <c:pt idx="0">
                  <c:v>Other</c:v>
                </c:pt>
                <c:pt idx="1">
                  <c:v>Private</c:v>
                </c:pt>
                <c:pt idx="2">
                  <c:v>State</c:v>
                </c:pt>
              </c:strCache>
            </c:strRef>
          </c:cat>
          <c:val>
            <c:numRef>
              <c:f>'Pivot Table 1st'!$B$18:$B$21</c:f>
              <c:numCache>
                <c:formatCode>General</c:formatCode>
                <c:ptCount val="3"/>
                <c:pt idx="0">
                  <c:v>17</c:v>
                </c:pt>
                <c:pt idx="1">
                  <c:v>25</c:v>
                </c:pt>
                <c:pt idx="2">
                  <c:v>103</c:v>
                </c:pt>
              </c:numCache>
            </c:numRef>
          </c:val>
          <c:extLst>
            <c:ext xmlns:c16="http://schemas.microsoft.com/office/drawing/2014/chart" uri="{C3380CC4-5D6E-409C-BE32-E72D297353CC}">
              <c16:uniqueId val="{00000000-E9FA-4440-8BD5-EA435CC3F9ED}"/>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Performance .xlsx]Pivot Table 1st!PivotTable3</c:name>
    <c:fmtId val="3"/>
  </c:pivotSource>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mn-lt"/>
                <a:ea typeface="+mn-ea"/>
                <a:cs typeface="+mn-cs"/>
              </a:defRPr>
            </a:pPr>
            <a:r>
              <a:rPr lang="en-US" sz="800" b="1"/>
              <a:t>school</a:t>
            </a:r>
            <a:r>
              <a:rPr lang="en-US" sz="800" b="1" baseline="0"/>
              <a:t> type by weekly study_hours</a:t>
            </a:r>
            <a:endParaRPr lang="en-US" sz="800" b="1"/>
          </a:p>
        </c:rich>
      </c:tx>
      <c:layout>
        <c:manualLayout>
          <c:xMode val="edge"/>
          <c:yMode val="edge"/>
          <c:x val="0.20455086949747717"/>
          <c:y val="2.6208019447588604E-2"/>
        </c:manualLayout>
      </c:layout>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 1st'!$B$31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30-467C-B901-50EE98E45B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30-467C-B901-50EE98E45BF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30-467C-B901-50EE98E45BF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1st'!$A$32:$A$35</c:f>
              <c:strCache>
                <c:ptCount val="3"/>
                <c:pt idx="0">
                  <c:v>Other</c:v>
                </c:pt>
                <c:pt idx="1">
                  <c:v>Private</c:v>
                </c:pt>
                <c:pt idx="2">
                  <c:v>State</c:v>
                </c:pt>
              </c:strCache>
            </c:strRef>
          </c:cat>
          <c:val>
            <c:numRef>
              <c:f>'Pivot Table 1st'!$B$32:$B$35</c:f>
              <c:numCache>
                <c:formatCode>General</c:formatCode>
                <c:ptCount val="3"/>
                <c:pt idx="0">
                  <c:v>62</c:v>
                </c:pt>
                <c:pt idx="1">
                  <c:v>98</c:v>
                </c:pt>
                <c:pt idx="2">
                  <c:v>178</c:v>
                </c:pt>
              </c:numCache>
            </c:numRef>
          </c:val>
          <c:extLst>
            <c:ext xmlns:c16="http://schemas.microsoft.com/office/drawing/2014/chart" uri="{C3380CC4-5D6E-409C-BE32-E72D297353CC}">
              <c16:uniqueId val="{00000000-FA68-409B-AFFA-2D36EADA5D1C}"/>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Performance .xlsx]Pivot Table 1st!PivotTable4</c:name>
    <c:fmtId val="5"/>
  </c:pivotSource>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r>
              <a:rPr lang="en-US" sz="900" b="1"/>
              <a:t>Student_Age</a:t>
            </a:r>
            <a:r>
              <a:rPr lang="en-US" sz="900" b="1" baseline="0"/>
              <a:t> by Reading </a:t>
            </a:r>
            <a:r>
              <a:rPr lang="en-US" sz="900" b="1" i="0" u="none" strike="noStrike" baseline="0">
                <a:effectLst/>
              </a:rPr>
              <a:t>Performance</a:t>
            </a:r>
            <a:endParaRPr lang="en-US" sz="900" b="1"/>
          </a:p>
        </c:rich>
      </c:tx>
      <c:layout>
        <c:manualLayout>
          <c:xMode val="edge"/>
          <c:yMode val="edge"/>
          <c:x val="0.17773420479302829"/>
          <c:y val="2.5723463985124952E-2"/>
        </c:manualLayout>
      </c:layout>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'Pivot Table 1st'!$L$3</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 1st'!$K$4:$K$7</c:f>
              <c:strCache>
                <c:ptCount val="3"/>
                <c:pt idx="0">
                  <c:v>18</c:v>
                </c:pt>
                <c:pt idx="1">
                  <c:v>19-22</c:v>
                </c:pt>
                <c:pt idx="2">
                  <c:v>23-27</c:v>
                </c:pt>
              </c:strCache>
            </c:strRef>
          </c:cat>
          <c:val>
            <c:numRef>
              <c:f>'Pivot Table 1st'!$L$4:$L$7</c:f>
              <c:numCache>
                <c:formatCode>General</c:formatCode>
                <c:ptCount val="3"/>
                <c:pt idx="0">
                  <c:v>65</c:v>
                </c:pt>
                <c:pt idx="1">
                  <c:v>70</c:v>
                </c:pt>
                <c:pt idx="2">
                  <c:v>10</c:v>
                </c:pt>
              </c:numCache>
            </c:numRef>
          </c:val>
          <c:extLst>
            <c:ext xmlns:c16="http://schemas.microsoft.com/office/drawing/2014/chart" uri="{C3380CC4-5D6E-409C-BE32-E72D297353CC}">
              <c16:uniqueId val="{00000002-4BE7-439B-BD32-5FEB2918F4B6}"/>
            </c:ext>
          </c:extLst>
        </c:ser>
        <c:dLbls>
          <c:showLegendKey val="0"/>
          <c:showVal val="0"/>
          <c:showCatName val="0"/>
          <c:showSerName val="0"/>
          <c:showPercent val="0"/>
          <c:showBubbleSize val="0"/>
        </c:dLbls>
        <c:gapWidth val="182"/>
        <c:axId val="1406802095"/>
        <c:axId val="1406802575"/>
      </c:barChart>
      <c:catAx>
        <c:axId val="1406802095"/>
        <c:scaling>
          <c:orientation val="minMax"/>
        </c:scaling>
        <c:delete val="1"/>
        <c:axPos val="l"/>
        <c:numFmt formatCode="General" sourceLinked="1"/>
        <c:majorTickMark val="none"/>
        <c:minorTickMark val="none"/>
        <c:tickLblPos val="nextTo"/>
        <c:crossAx val="1406802575"/>
        <c:crosses val="autoZero"/>
        <c:auto val="1"/>
        <c:lblAlgn val="ctr"/>
        <c:lblOffset val="100"/>
        <c:noMultiLvlLbl val="0"/>
      </c:catAx>
      <c:valAx>
        <c:axId val="1406802575"/>
        <c:scaling>
          <c:orientation val="minMax"/>
        </c:scaling>
        <c:delete val="1"/>
        <c:axPos val="b"/>
        <c:numFmt formatCode="General" sourceLinked="1"/>
        <c:majorTickMark val="none"/>
        <c:minorTickMark val="none"/>
        <c:tickLblPos val="nextTo"/>
        <c:crossAx val="1406802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Performance .xlsx]Pivot Table 1st!PivotTable5</c:name>
    <c:fmtId val="6"/>
  </c:pivotSource>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r>
              <a:rPr lang="en-US" sz="900" b="1"/>
              <a:t>School</a:t>
            </a:r>
            <a:r>
              <a:rPr lang="en-US" sz="900" b="1" baseline="0"/>
              <a:t> by Project work</a:t>
            </a:r>
            <a:endParaRPr lang="en-US" sz="900" b="1"/>
          </a:p>
        </c:rich>
      </c:tx>
      <c:layout>
        <c:manualLayout>
          <c:xMode val="edge"/>
          <c:yMode val="edge"/>
          <c:x val="0.28279952550415183"/>
          <c:y val="2.2535204603096493E-2"/>
        </c:manualLayout>
      </c:layout>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'Pivot Table 1st'!$L$17</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 1st'!$K$18:$K$21</c:f>
              <c:strCache>
                <c:ptCount val="3"/>
                <c:pt idx="0">
                  <c:v>Other</c:v>
                </c:pt>
                <c:pt idx="1">
                  <c:v>Private</c:v>
                </c:pt>
                <c:pt idx="2">
                  <c:v>State</c:v>
                </c:pt>
              </c:strCache>
            </c:strRef>
          </c:cat>
          <c:val>
            <c:numRef>
              <c:f>'Pivot Table 1st'!$L$18:$L$21</c:f>
              <c:numCache>
                <c:formatCode>General</c:formatCode>
                <c:ptCount val="3"/>
                <c:pt idx="0">
                  <c:v>17</c:v>
                </c:pt>
                <c:pt idx="1">
                  <c:v>25</c:v>
                </c:pt>
                <c:pt idx="2">
                  <c:v>103</c:v>
                </c:pt>
              </c:numCache>
            </c:numRef>
          </c:val>
          <c:extLst>
            <c:ext xmlns:c16="http://schemas.microsoft.com/office/drawing/2014/chart" uri="{C3380CC4-5D6E-409C-BE32-E72D297353CC}">
              <c16:uniqueId val="{00000000-3189-4286-BB3A-71654242EA33}"/>
            </c:ext>
          </c:extLst>
        </c:ser>
        <c:dLbls>
          <c:showLegendKey val="0"/>
          <c:showVal val="0"/>
          <c:showCatName val="0"/>
          <c:showSerName val="0"/>
          <c:showPercent val="0"/>
          <c:showBubbleSize val="0"/>
        </c:dLbls>
        <c:gapWidth val="182"/>
        <c:axId val="1437570863"/>
        <c:axId val="1437571823"/>
      </c:barChart>
      <c:catAx>
        <c:axId val="1437570863"/>
        <c:scaling>
          <c:orientation val="minMax"/>
        </c:scaling>
        <c:delete val="1"/>
        <c:axPos val="l"/>
        <c:numFmt formatCode="General" sourceLinked="1"/>
        <c:majorTickMark val="none"/>
        <c:minorTickMark val="none"/>
        <c:tickLblPos val="nextTo"/>
        <c:crossAx val="1437571823"/>
        <c:crosses val="autoZero"/>
        <c:auto val="1"/>
        <c:lblAlgn val="ctr"/>
        <c:lblOffset val="100"/>
        <c:noMultiLvlLbl val="0"/>
      </c:catAx>
      <c:valAx>
        <c:axId val="1437571823"/>
        <c:scaling>
          <c:orientation val="minMax"/>
        </c:scaling>
        <c:delete val="1"/>
        <c:axPos val="b"/>
        <c:numFmt formatCode="General" sourceLinked="1"/>
        <c:majorTickMark val="none"/>
        <c:minorTickMark val="none"/>
        <c:tickLblPos val="nextTo"/>
        <c:crossAx val="143757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Performance .xlsx]Pivot Table 1st!PivotTable6</c:name>
    <c:fmtId val="7"/>
  </c:pivotSource>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mn-lt"/>
                <a:ea typeface="+mn-ea"/>
                <a:cs typeface="+mn-cs"/>
              </a:defRPr>
            </a:pPr>
            <a:r>
              <a:rPr lang="en-US" sz="800" b="1"/>
              <a:t>Student</a:t>
            </a:r>
            <a:r>
              <a:rPr lang="en-US" sz="800" b="1" baseline="0"/>
              <a:t>_age by Scholarship</a:t>
            </a:r>
            <a:endParaRPr lang="en-US" sz="800" b="1"/>
          </a:p>
        </c:rich>
      </c:tx>
      <c:layout>
        <c:manualLayout>
          <c:xMode val="edge"/>
          <c:yMode val="edge"/>
          <c:x val="0.31803247374144294"/>
          <c:y val="2.9304029304029304E-2"/>
        </c:manualLayout>
      </c:layout>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1st'!$L$29</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1st'!$K$30:$K$33</c:f>
              <c:strCache>
                <c:ptCount val="3"/>
                <c:pt idx="0">
                  <c:v>18</c:v>
                </c:pt>
                <c:pt idx="1">
                  <c:v>19-22</c:v>
                </c:pt>
                <c:pt idx="2">
                  <c:v>23-27</c:v>
                </c:pt>
              </c:strCache>
            </c:strRef>
          </c:cat>
          <c:val>
            <c:numRef>
              <c:f>'Pivot Table 1st'!$L$30:$L$33</c:f>
              <c:numCache>
                <c:formatCode>General</c:formatCode>
                <c:ptCount val="3"/>
                <c:pt idx="0">
                  <c:v>65</c:v>
                </c:pt>
                <c:pt idx="1">
                  <c:v>70</c:v>
                </c:pt>
                <c:pt idx="2">
                  <c:v>10</c:v>
                </c:pt>
              </c:numCache>
            </c:numRef>
          </c:val>
          <c:smooth val="0"/>
          <c:extLst>
            <c:ext xmlns:c16="http://schemas.microsoft.com/office/drawing/2014/chart" uri="{C3380CC4-5D6E-409C-BE32-E72D297353CC}">
              <c16:uniqueId val="{00000000-5E41-4EF3-90D6-D3476B9B1BAC}"/>
            </c:ext>
          </c:extLst>
        </c:ser>
        <c:dLbls>
          <c:dLblPos val="t"/>
          <c:showLegendKey val="0"/>
          <c:showVal val="1"/>
          <c:showCatName val="0"/>
          <c:showSerName val="0"/>
          <c:showPercent val="0"/>
          <c:showBubbleSize val="0"/>
        </c:dLbls>
        <c:smooth val="0"/>
        <c:axId val="1407601583"/>
        <c:axId val="1407595343"/>
      </c:lineChart>
      <c:catAx>
        <c:axId val="140760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595343"/>
        <c:crosses val="autoZero"/>
        <c:auto val="1"/>
        <c:lblAlgn val="ctr"/>
        <c:lblOffset val="100"/>
        <c:noMultiLvlLbl val="0"/>
      </c:catAx>
      <c:valAx>
        <c:axId val="1407595343"/>
        <c:scaling>
          <c:orientation val="minMax"/>
        </c:scaling>
        <c:delete val="1"/>
        <c:axPos val="l"/>
        <c:numFmt formatCode="General" sourceLinked="1"/>
        <c:majorTickMark val="none"/>
        <c:minorTickMark val="none"/>
        <c:tickLblPos val="nextTo"/>
        <c:crossAx val="1407601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Performance .xlsx]Pivot Table 1st!PivotTable1</c:name>
    <c:fmtId val="2"/>
  </c:pivotSource>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r>
              <a:rPr lang="en-US" sz="900" b="1"/>
              <a:t>Student</a:t>
            </a:r>
            <a:r>
              <a:rPr lang="en-US" sz="900" b="1" baseline="0"/>
              <a:t> age by Sports activity</a:t>
            </a:r>
            <a:endParaRPr lang="en-US" sz="900" b="1"/>
          </a:p>
        </c:rich>
      </c:tx>
      <c:layout>
        <c:manualLayout>
          <c:xMode val="edge"/>
          <c:yMode val="edge"/>
          <c:x val="0.13780016364351216"/>
          <c:y val="2.8293537655746735E-2"/>
        </c:manualLayout>
      </c:layout>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497599962166891"/>
                  <c:h val="0.15457711997485327"/>
                </c:manualLayout>
              </c15:layout>
            </c:ext>
          </c:extLst>
        </c:dLbl>
      </c:pivotFmt>
    </c:pivotFmts>
    <c:plotArea>
      <c:layout>
        <c:manualLayout>
          <c:layoutTarget val="inner"/>
          <c:xMode val="edge"/>
          <c:yMode val="edge"/>
          <c:x val="6.6066066066066062E-2"/>
          <c:y val="0.3246580191695011"/>
          <c:w val="0.86786786786786785"/>
          <c:h val="0.58132501335888909"/>
        </c:manualLayout>
      </c:layout>
      <c:barChart>
        <c:barDir val="col"/>
        <c:grouping val="clustered"/>
        <c:varyColors val="0"/>
        <c:ser>
          <c:idx val="0"/>
          <c:order val="0"/>
          <c:tx>
            <c:strRef>
              <c:f>'Pivot Table 1st'!$B$3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1C57-4D83-811B-459F451BA467}"/>
              </c:ext>
            </c:extLst>
          </c:dPt>
          <c:dLbls>
            <c:dLbl>
              <c:idx val="0"/>
              <c:showLegendKey val="0"/>
              <c:showVal val="1"/>
              <c:showCatName val="1"/>
              <c:showSerName val="0"/>
              <c:showPercent val="0"/>
              <c:showBubbleSize val="0"/>
              <c:extLst>
                <c:ext xmlns:c15="http://schemas.microsoft.com/office/drawing/2012/chart" uri="{CE6537A1-D6FC-4f65-9D91-7224C49458BB}">
                  <c15:layout>
                    <c:manualLayout>
                      <c:w val="0.18497599962166891"/>
                      <c:h val="0.15457711997485327"/>
                    </c:manualLayout>
                  </c15:layout>
                </c:ext>
                <c:ext xmlns:c16="http://schemas.microsoft.com/office/drawing/2014/chart" uri="{C3380CC4-5D6E-409C-BE32-E72D297353CC}">
                  <c16:uniqueId val="{00000000-1C57-4D83-811B-459F451BA46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 1st'!$A$4:$A$7</c:f>
              <c:strCache>
                <c:ptCount val="3"/>
                <c:pt idx="0">
                  <c:v>18</c:v>
                </c:pt>
                <c:pt idx="1">
                  <c:v>19-22</c:v>
                </c:pt>
                <c:pt idx="2">
                  <c:v>23-27</c:v>
                </c:pt>
              </c:strCache>
            </c:strRef>
          </c:cat>
          <c:val>
            <c:numRef>
              <c:f>'Pivot Table 1st'!$B$4:$B$7</c:f>
              <c:numCache>
                <c:formatCode>General</c:formatCode>
                <c:ptCount val="3"/>
                <c:pt idx="0">
                  <c:v>65</c:v>
                </c:pt>
                <c:pt idx="1">
                  <c:v>70</c:v>
                </c:pt>
                <c:pt idx="2">
                  <c:v>10</c:v>
                </c:pt>
              </c:numCache>
            </c:numRef>
          </c:val>
          <c:extLst>
            <c:ext xmlns:c16="http://schemas.microsoft.com/office/drawing/2014/chart" uri="{C3380CC4-5D6E-409C-BE32-E72D297353CC}">
              <c16:uniqueId val="{00000000-AE50-499C-9CD6-5C278F25FEF1}"/>
            </c:ext>
          </c:extLst>
        </c:ser>
        <c:dLbls>
          <c:showLegendKey val="0"/>
          <c:showVal val="0"/>
          <c:showCatName val="0"/>
          <c:showSerName val="0"/>
          <c:showPercent val="0"/>
          <c:showBubbleSize val="0"/>
        </c:dLbls>
        <c:gapWidth val="219"/>
        <c:overlap val="-27"/>
        <c:axId val="1029046735"/>
        <c:axId val="1029036655"/>
      </c:barChart>
      <c:catAx>
        <c:axId val="1029046735"/>
        <c:scaling>
          <c:orientation val="minMax"/>
        </c:scaling>
        <c:delete val="1"/>
        <c:axPos val="b"/>
        <c:numFmt formatCode="General" sourceLinked="1"/>
        <c:majorTickMark val="none"/>
        <c:minorTickMark val="none"/>
        <c:tickLblPos val="nextTo"/>
        <c:crossAx val="1029036655"/>
        <c:crosses val="autoZero"/>
        <c:auto val="1"/>
        <c:lblAlgn val="ctr"/>
        <c:lblOffset val="100"/>
        <c:noMultiLvlLbl val="0"/>
      </c:catAx>
      <c:valAx>
        <c:axId val="1029036655"/>
        <c:scaling>
          <c:orientation val="minMax"/>
        </c:scaling>
        <c:delete val="1"/>
        <c:axPos val="l"/>
        <c:numFmt formatCode="General" sourceLinked="1"/>
        <c:majorTickMark val="none"/>
        <c:minorTickMark val="none"/>
        <c:tickLblPos val="nextTo"/>
        <c:crossAx val="1029046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DD3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Performance .xlsx]Pivot Table 1st!PivotTable2</c:name>
    <c:fmtId val="5"/>
  </c:pivotSource>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mn-lt"/>
                <a:ea typeface="+mn-ea"/>
                <a:cs typeface="+mn-cs"/>
              </a:defRPr>
            </a:pPr>
            <a:r>
              <a:rPr lang="en-US" sz="800" b="1"/>
              <a:t>High</a:t>
            </a:r>
            <a:r>
              <a:rPr lang="en-US" sz="800" b="1" baseline="0"/>
              <a:t> school by attendance</a:t>
            </a:r>
            <a:endParaRPr lang="en-US" sz="800" b="1"/>
          </a:p>
        </c:rich>
      </c:tx>
      <c:layout>
        <c:manualLayout>
          <c:xMode val="edge"/>
          <c:yMode val="edge"/>
          <c:x val="0.24066390041493776"/>
          <c:y val="2.7280470083312837E-2"/>
        </c:manualLayout>
      </c:layout>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3831258644536643"/>
              <c:y val="-0.102301762812423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1618257261410789"/>
              <c:y val="8.86615277707665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3831258644536643"/>
              <c:y val="-0.102301762812423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1618257261410789"/>
              <c:y val="8.86615277707665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3831258644536643"/>
              <c:y val="-0.102301762812423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1618257261410789"/>
              <c:y val="8.86615277707665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s>
    <c:plotArea>
      <c:layout>
        <c:manualLayout>
          <c:layoutTarget val="inner"/>
          <c:xMode val="edge"/>
          <c:yMode val="edge"/>
          <c:x val="0.1984166979127609"/>
          <c:y val="0.30707668416658845"/>
          <c:w val="0.49724834188257588"/>
          <c:h val="0.61297605225821072"/>
        </c:manualLayout>
      </c:layout>
      <c:doughnutChart>
        <c:varyColors val="1"/>
        <c:ser>
          <c:idx val="0"/>
          <c:order val="0"/>
          <c:tx>
            <c:strRef>
              <c:f>'Pivot Table 1st'!$B$17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23A-405E-B8FB-ECE8743752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3A-405E-B8FB-ECE8743752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23A-405E-B8FB-ECE87437528F}"/>
              </c:ext>
            </c:extLst>
          </c:dPt>
          <c:dLbls>
            <c:dLbl>
              <c:idx val="0"/>
              <c:layout>
                <c:manualLayout>
                  <c:x val="0.13831258644536643"/>
                  <c:y val="-0.1023017628124231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23A-405E-B8FB-ECE87437528F}"/>
                </c:ext>
              </c:extLst>
            </c:dLbl>
            <c:dLbl>
              <c:idx val="1"/>
              <c:layout>
                <c:manualLayout>
                  <c:x val="0.11618257261410789"/>
                  <c:y val="8.866152777076659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23A-405E-B8FB-ECE87437528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1st'!$A$18:$A$21</c:f>
              <c:strCache>
                <c:ptCount val="3"/>
                <c:pt idx="0">
                  <c:v>Other</c:v>
                </c:pt>
                <c:pt idx="1">
                  <c:v>Private</c:v>
                </c:pt>
                <c:pt idx="2">
                  <c:v>State</c:v>
                </c:pt>
              </c:strCache>
            </c:strRef>
          </c:cat>
          <c:val>
            <c:numRef>
              <c:f>'Pivot Table 1st'!$B$18:$B$21</c:f>
              <c:numCache>
                <c:formatCode>General</c:formatCode>
                <c:ptCount val="3"/>
                <c:pt idx="0">
                  <c:v>17</c:v>
                </c:pt>
                <c:pt idx="1">
                  <c:v>25</c:v>
                </c:pt>
                <c:pt idx="2">
                  <c:v>103</c:v>
                </c:pt>
              </c:numCache>
            </c:numRef>
          </c:val>
          <c:extLst>
            <c:ext xmlns:c16="http://schemas.microsoft.com/office/drawing/2014/chart" uri="{C3380CC4-5D6E-409C-BE32-E72D297353CC}">
              <c16:uniqueId val="{00000006-623A-405E-B8FB-ECE87437528F}"/>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DD3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Performance .xlsx]Pivot Table 1st!PivotTable4</c:name>
    <c:fmtId val="7"/>
  </c:pivotSource>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r>
              <a:rPr lang="en-US" sz="900" b="1"/>
              <a:t>Student_Age</a:t>
            </a:r>
            <a:r>
              <a:rPr lang="en-US" sz="900" b="1" baseline="0"/>
              <a:t> by Reading </a:t>
            </a:r>
            <a:r>
              <a:rPr lang="en-US" sz="900" b="1" i="0" u="none" strike="noStrike" baseline="0">
                <a:effectLst/>
              </a:rPr>
              <a:t>Performance</a:t>
            </a:r>
            <a:endParaRPr lang="en-US" sz="900" b="1"/>
          </a:p>
        </c:rich>
      </c:tx>
      <c:layout>
        <c:manualLayout>
          <c:xMode val="edge"/>
          <c:yMode val="edge"/>
          <c:x val="0.17773420479302829"/>
          <c:y val="2.5723463985124952E-2"/>
        </c:manualLayout>
      </c:layout>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'Pivot Table 1st'!$L$3</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 1st'!$K$4:$K$7</c:f>
              <c:strCache>
                <c:ptCount val="3"/>
                <c:pt idx="0">
                  <c:v>18</c:v>
                </c:pt>
                <c:pt idx="1">
                  <c:v>19-22</c:v>
                </c:pt>
                <c:pt idx="2">
                  <c:v>23-27</c:v>
                </c:pt>
              </c:strCache>
            </c:strRef>
          </c:cat>
          <c:val>
            <c:numRef>
              <c:f>'Pivot Table 1st'!$L$4:$L$7</c:f>
              <c:numCache>
                <c:formatCode>General</c:formatCode>
                <c:ptCount val="3"/>
                <c:pt idx="0">
                  <c:v>65</c:v>
                </c:pt>
                <c:pt idx="1">
                  <c:v>70</c:v>
                </c:pt>
                <c:pt idx="2">
                  <c:v>10</c:v>
                </c:pt>
              </c:numCache>
            </c:numRef>
          </c:val>
          <c:extLst>
            <c:ext xmlns:c16="http://schemas.microsoft.com/office/drawing/2014/chart" uri="{C3380CC4-5D6E-409C-BE32-E72D297353CC}">
              <c16:uniqueId val="{00000000-2B6C-49EF-A99E-227B0F7B233D}"/>
            </c:ext>
          </c:extLst>
        </c:ser>
        <c:dLbls>
          <c:showLegendKey val="0"/>
          <c:showVal val="0"/>
          <c:showCatName val="0"/>
          <c:showSerName val="0"/>
          <c:showPercent val="0"/>
          <c:showBubbleSize val="0"/>
        </c:dLbls>
        <c:gapWidth val="182"/>
        <c:axId val="1406802095"/>
        <c:axId val="1406802575"/>
      </c:barChart>
      <c:catAx>
        <c:axId val="1406802095"/>
        <c:scaling>
          <c:orientation val="minMax"/>
        </c:scaling>
        <c:delete val="1"/>
        <c:axPos val="l"/>
        <c:numFmt formatCode="General" sourceLinked="1"/>
        <c:majorTickMark val="none"/>
        <c:minorTickMark val="none"/>
        <c:tickLblPos val="nextTo"/>
        <c:crossAx val="1406802575"/>
        <c:crosses val="autoZero"/>
        <c:auto val="1"/>
        <c:lblAlgn val="ctr"/>
        <c:lblOffset val="100"/>
        <c:noMultiLvlLbl val="0"/>
      </c:catAx>
      <c:valAx>
        <c:axId val="1406802575"/>
        <c:scaling>
          <c:orientation val="minMax"/>
        </c:scaling>
        <c:delete val="1"/>
        <c:axPos val="b"/>
        <c:numFmt formatCode="General" sourceLinked="1"/>
        <c:majorTickMark val="none"/>
        <c:minorTickMark val="none"/>
        <c:tickLblPos val="nextTo"/>
        <c:crossAx val="1406802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DD3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Performance .xlsx]Pivot Table 1st!PivotTable5</c:name>
    <c:fmtId val="8"/>
  </c:pivotSource>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r>
              <a:rPr lang="en-US" sz="900" b="1"/>
              <a:t>School</a:t>
            </a:r>
            <a:r>
              <a:rPr lang="en-US" sz="900" b="1" baseline="0"/>
              <a:t> by Project work</a:t>
            </a:r>
            <a:endParaRPr lang="en-US" sz="900" b="1"/>
          </a:p>
        </c:rich>
      </c:tx>
      <c:layout>
        <c:manualLayout>
          <c:xMode val="edge"/>
          <c:yMode val="edge"/>
          <c:x val="0.28279952550415183"/>
          <c:y val="2.2535204603096493E-2"/>
        </c:manualLayout>
      </c:layout>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'Pivot Table 1st'!$L$17</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 1st'!$K$18:$K$21</c:f>
              <c:strCache>
                <c:ptCount val="3"/>
                <c:pt idx="0">
                  <c:v>Other</c:v>
                </c:pt>
                <c:pt idx="1">
                  <c:v>Private</c:v>
                </c:pt>
                <c:pt idx="2">
                  <c:v>State</c:v>
                </c:pt>
              </c:strCache>
            </c:strRef>
          </c:cat>
          <c:val>
            <c:numRef>
              <c:f>'Pivot Table 1st'!$L$18:$L$21</c:f>
              <c:numCache>
                <c:formatCode>General</c:formatCode>
                <c:ptCount val="3"/>
                <c:pt idx="0">
                  <c:v>17</c:v>
                </c:pt>
                <c:pt idx="1">
                  <c:v>25</c:v>
                </c:pt>
                <c:pt idx="2">
                  <c:v>103</c:v>
                </c:pt>
              </c:numCache>
            </c:numRef>
          </c:val>
          <c:extLst>
            <c:ext xmlns:c16="http://schemas.microsoft.com/office/drawing/2014/chart" uri="{C3380CC4-5D6E-409C-BE32-E72D297353CC}">
              <c16:uniqueId val="{00000000-8231-419F-A43B-E66E802DA379}"/>
            </c:ext>
          </c:extLst>
        </c:ser>
        <c:dLbls>
          <c:showLegendKey val="0"/>
          <c:showVal val="0"/>
          <c:showCatName val="0"/>
          <c:showSerName val="0"/>
          <c:showPercent val="0"/>
          <c:showBubbleSize val="0"/>
        </c:dLbls>
        <c:gapWidth val="182"/>
        <c:axId val="1437570863"/>
        <c:axId val="1437571823"/>
      </c:barChart>
      <c:catAx>
        <c:axId val="1437570863"/>
        <c:scaling>
          <c:orientation val="minMax"/>
        </c:scaling>
        <c:delete val="1"/>
        <c:axPos val="l"/>
        <c:numFmt formatCode="General" sourceLinked="1"/>
        <c:majorTickMark val="none"/>
        <c:minorTickMark val="none"/>
        <c:tickLblPos val="nextTo"/>
        <c:crossAx val="1437571823"/>
        <c:crosses val="autoZero"/>
        <c:auto val="1"/>
        <c:lblAlgn val="ctr"/>
        <c:lblOffset val="100"/>
        <c:noMultiLvlLbl val="0"/>
      </c:catAx>
      <c:valAx>
        <c:axId val="1437571823"/>
        <c:scaling>
          <c:orientation val="minMax"/>
        </c:scaling>
        <c:delete val="1"/>
        <c:axPos val="b"/>
        <c:numFmt formatCode="General" sourceLinked="1"/>
        <c:majorTickMark val="none"/>
        <c:minorTickMark val="none"/>
        <c:tickLblPos val="nextTo"/>
        <c:crossAx val="143757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DD3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Performance .xlsx]Pivot Table 1st!PivotTable6</c:name>
    <c:fmtId val="9"/>
  </c:pivotSource>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mn-lt"/>
                <a:ea typeface="+mn-ea"/>
                <a:cs typeface="+mn-cs"/>
              </a:defRPr>
            </a:pPr>
            <a:r>
              <a:rPr lang="en-US" sz="800" b="1"/>
              <a:t>Student</a:t>
            </a:r>
            <a:r>
              <a:rPr lang="en-US" sz="800" b="1" baseline="0"/>
              <a:t>_age by Scholarship</a:t>
            </a:r>
            <a:endParaRPr lang="en-US" sz="800" b="1"/>
          </a:p>
        </c:rich>
      </c:tx>
      <c:layout>
        <c:manualLayout>
          <c:xMode val="edge"/>
          <c:yMode val="edge"/>
          <c:x val="0.31803247374144294"/>
          <c:y val="2.9304029304029304E-2"/>
        </c:manualLayout>
      </c:layout>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1st'!$L$29</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1st'!$K$30:$K$33</c:f>
              <c:strCache>
                <c:ptCount val="3"/>
                <c:pt idx="0">
                  <c:v>18</c:v>
                </c:pt>
                <c:pt idx="1">
                  <c:v>19-22</c:v>
                </c:pt>
                <c:pt idx="2">
                  <c:v>23-27</c:v>
                </c:pt>
              </c:strCache>
            </c:strRef>
          </c:cat>
          <c:val>
            <c:numRef>
              <c:f>'Pivot Table 1st'!$L$30:$L$33</c:f>
              <c:numCache>
                <c:formatCode>General</c:formatCode>
                <c:ptCount val="3"/>
                <c:pt idx="0">
                  <c:v>65</c:v>
                </c:pt>
                <c:pt idx="1">
                  <c:v>70</c:v>
                </c:pt>
                <c:pt idx="2">
                  <c:v>10</c:v>
                </c:pt>
              </c:numCache>
            </c:numRef>
          </c:val>
          <c:smooth val="0"/>
          <c:extLst>
            <c:ext xmlns:c16="http://schemas.microsoft.com/office/drawing/2014/chart" uri="{C3380CC4-5D6E-409C-BE32-E72D297353CC}">
              <c16:uniqueId val="{00000001-DA1C-4E4D-8D23-90C8F42D8421}"/>
            </c:ext>
          </c:extLst>
        </c:ser>
        <c:dLbls>
          <c:dLblPos val="t"/>
          <c:showLegendKey val="0"/>
          <c:showVal val="1"/>
          <c:showCatName val="0"/>
          <c:showSerName val="0"/>
          <c:showPercent val="0"/>
          <c:showBubbleSize val="0"/>
        </c:dLbls>
        <c:smooth val="0"/>
        <c:axId val="1407601583"/>
        <c:axId val="1407595343"/>
      </c:lineChart>
      <c:catAx>
        <c:axId val="140760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07595343"/>
        <c:crosses val="autoZero"/>
        <c:auto val="1"/>
        <c:lblAlgn val="ctr"/>
        <c:lblOffset val="100"/>
        <c:noMultiLvlLbl val="0"/>
      </c:catAx>
      <c:valAx>
        <c:axId val="1407595343"/>
        <c:scaling>
          <c:orientation val="minMax"/>
        </c:scaling>
        <c:delete val="1"/>
        <c:axPos val="l"/>
        <c:numFmt formatCode="General" sourceLinked="1"/>
        <c:majorTickMark val="none"/>
        <c:minorTickMark val="none"/>
        <c:tickLblPos val="nextTo"/>
        <c:crossAx val="1407601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DD3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Performance .xlsx]Pivot Table 1st!PivotTable3</c:name>
    <c:fmtId val="6"/>
  </c:pivotSource>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mn-lt"/>
                <a:ea typeface="+mn-ea"/>
                <a:cs typeface="+mn-cs"/>
              </a:defRPr>
            </a:pPr>
            <a:r>
              <a:rPr lang="en-US" sz="800" b="1"/>
              <a:t>school</a:t>
            </a:r>
            <a:r>
              <a:rPr lang="en-US" sz="800" b="1" baseline="0"/>
              <a:t> type by weekly study_hours</a:t>
            </a:r>
            <a:endParaRPr lang="en-US" sz="800" b="1"/>
          </a:p>
        </c:rich>
      </c:tx>
      <c:layout>
        <c:manualLayout>
          <c:xMode val="edge"/>
          <c:yMode val="edge"/>
          <c:x val="0.20455086949747717"/>
          <c:y val="2.6208019447588604E-2"/>
        </c:manualLayout>
      </c:layout>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 Table 1st'!$B$31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63-41D5-B2CC-A4E2D3FBFE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63-41D5-B2CC-A4E2D3FBFE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063-41D5-B2CC-A4E2D3FBFE2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1st'!$A$32:$A$35</c:f>
              <c:strCache>
                <c:ptCount val="3"/>
                <c:pt idx="0">
                  <c:v>Other</c:v>
                </c:pt>
                <c:pt idx="1">
                  <c:v>Private</c:v>
                </c:pt>
                <c:pt idx="2">
                  <c:v>State</c:v>
                </c:pt>
              </c:strCache>
            </c:strRef>
          </c:cat>
          <c:val>
            <c:numRef>
              <c:f>'Pivot Table 1st'!$B$32:$B$35</c:f>
              <c:numCache>
                <c:formatCode>General</c:formatCode>
                <c:ptCount val="3"/>
                <c:pt idx="0">
                  <c:v>62</c:v>
                </c:pt>
                <c:pt idx="1">
                  <c:v>98</c:v>
                </c:pt>
                <c:pt idx="2">
                  <c:v>178</c:v>
                </c:pt>
              </c:numCache>
            </c:numRef>
          </c:val>
          <c:extLst>
            <c:ext xmlns:c16="http://schemas.microsoft.com/office/drawing/2014/chart" uri="{C3380CC4-5D6E-409C-BE32-E72D297353CC}">
              <c16:uniqueId val="{00000006-1063-41D5-B2CC-A4E2D3FBFE2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DD3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1.xml"/><Relationship Id="rId5" Type="http://schemas.openxmlformats.org/officeDocument/2006/relationships/image" Target="../media/image5.png"/><Relationship Id="rId10" Type="http://schemas.openxmlformats.org/officeDocument/2006/relationships/chart" Target="../charts/chart10.xml"/><Relationship Id="rId4" Type="http://schemas.openxmlformats.org/officeDocument/2006/relationships/image" Target="../media/image4.svg"/><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104775</xdr:colOff>
      <xdr:row>0</xdr:row>
      <xdr:rowOff>80962</xdr:rowOff>
    </xdr:from>
    <xdr:to>
      <xdr:col>5</xdr:col>
      <xdr:colOff>390525</xdr:colOff>
      <xdr:row>8</xdr:row>
      <xdr:rowOff>66676</xdr:rowOff>
    </xdr:to>
    <xdr:graphicFrame macro="">
      <xdr:nvGraphicFramePr>
        <xdr:cNvPr id="2" name="Chart 1">
          <a:extLst>
            <a:ext uri="{FF2B5EF4-FFF2-40B4-BE49-F238E27FC236}">
              <a16:creationId xmlns:a16="http://schemas.microsoft.com/office/drawing/2014/main" id="{C9D75F6A-CADF-01E1-4E07-C440BE4ABE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123826</xdr:colOff>
      <xdr:row>13</xdr:row>
      <xdr:rowOff>128587</xdr:rowOff>
    </xdr:from>
    <xdr:to>
      <xdr:col>5</xdr:col>
      <xdr:colOff>295276</xdr:colOff>
      <xdr:row>21</xdr:row>
      <xdr:rowOff>180975</xdr:rowOff>
    </xdr:to>
    <xdr:graphicFrame macro="">
      <xdr:nvGraphicFramePr>
        <xdr:cNvPr id="4" name="Chart 3">
          <a:extLst>
            <a:ext uri="{FF2B5EF4-FFF2-40B4-BE49-F238E27FC236}">
              <a16:creationId xmlns:a16="http://schemas.microsoft.com/office/drawing/2014/main" id="{4D0D82C9-E657-B809-E154-0353C3670C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57150</xdr:colOff>
      <xdr:row>27</xdr:row>
      <xdr:rowOff>61912</xdr:rowOff>
    </xdr:from>
    <xdr:to>
      <xdr:col>5</xdr:col>
      <xdr:colOff>314325</xdr:colOff>
      <xdr:row>37</xdr:row>
      <xdr:rowOff>95250</xdr:rowOff>
    </xdr:to>
    <xdr:graphicFrame macro="">
      <xdr:nvGraphicFramePr>
        <xdr:cNvPr id="5" name="Chart 4">
          <a:extLst>
            <a:ext uri="{FF2B5EF4-FFF2-40B4-BE49-F238E27FC236}">
              <a16:creationId xmlns:a16="http://schemas.microsoft.com/office/drawing/2014/main" id="{4B544E10-C5C0-F7B2-847C-7C22895BA3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133350</xdr:colOff>
      <xdr:row>0</xdr:row>
      <xdr:rowOff>71437</xdr:rowOff>
    </xdr:from>
    <xdr:to>
      <xdr:col>17</xdr:col>
      <xdr:colOff>0</xdr:colOff>
      <xdr:row>8</xdr:row>
      <xdr:rowOff>28575</xdr:rowOff>
    </xdr:to>
    <xdr:graphicFrame macro="">
      <xdr:nvGraphicFramePr>
        <xdr:cNvPr id="7" name="Chart 6">
          <a:extLst>
            <a:ext uri="{FF2B5EF4-FFF2-40B4-BE49-F238E27FC236}">
              <a16:creationId xmlns:a16="http://schemas.microsoft.com/office/drawing/2014/main" id="{AB6EC75B-6C37-2B6D-38FD-2570D875EF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361950</xdr:colOff>
      <xdr:row>15</xdr:row>
      <xdr:rowOff>0</xdr:rowOff>
    </xdr:from>
    <xdr:to>
      <xdr:col>16</xdr:col>
      <xdr:colOff>600075</xdr:colOff>
      <xdr:row>22</xdr:row>
      <xdr:rowOff>85725</xdr:rowOff>
    </xdr:to>
    <xdr:graphicFrame macro="">
      <xdr:nvGraphicFramePr>
        <xdr:cNvPr id="8" name="Chart 7">
          <a:extLst>
            <a:ext uri="{FF2B5EF4-FFF2-40B4-BE49-F238E27FC236}">
              <a16:creationId xmlns:a16="http://schemas.microsoft.com/office/drawing/2014/main" id="{E5D84A7A-0A7E-8889-3870-CD6910173D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295274</xdr:colOff>
      <xdr:row>27</xdr:row>
      <xdr:rowOff>57150</xdr:rowOff>
    </xdr:from>
    <xdr:to>
      <xdr:col>16</xdr:col>
      <xdr:colOff>600075</xdr:colOff>
      <xdr:row>34</xdr:row>
      <xdr:rowOff>114300</xdr:rowOff>
    </xdr:to>
    <xdr:graphicFrame macro="">
      <xdr:nvGraphicFramePr>
        <xdr:cNvPr id="9" name="Chart 8">
          <a:extLst>
            <a:ext uri="{FF2B5EF4-FFF2-40B4-BE49-F238E27FC236}">
              <a16:creationId xmlns:a16="http://schemas.microsoft.com/office/drawing/2014/main" id="{18A66D1A-5C79-F003-1528-6B082E9AAE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28575</xdr:colOff>
      <xdr:row>4</xdr:row>
      <xdr:rowOff>152400</xdr:rowOff>
    </xdr:from>
    <xdr:to>
      <xdr:col>1</xdr:col>
      <xdr:colOff>180975</xdr:colOff>
      <xdr:row>25</xdr:row>
      <xdr:rowOff>0</xdr:rowOff>
    </xdr:to>
    <mc:AlternateContent xmlns:mc="http://schemas.openxmlformats.org/markup-compatibility/2006" xmlns:a14="http://schemas.microsoft.com/office/drawing/2010/main">
      <mc:Choice Requires="a14">
        <xdr:graphicFrame macro="">
          <xdr:nvGraphicFramePr>
            <xdr:cNvPr id="2" name="Student_ID">
              <a:extLst>
                <a:ext uri="{FF2B5EF4-FFF2-40B4-BE49-F238E27FC236}">
                  <a16:creationId xmlns:a16="http://schemas.microsoft.com/office/drawing/2014/main" id="{EEA0140D-0934-CA06-6B81-161D00D577BF}"/>
                </a:ext>
              </a:extLst>
            </xdr:cNvPr>
            <xdr:cNvGraphicFramePr/>
          </xdr:nvGraphicFramePr>
          <xdr:xfrm>
            <a:off x="0" y="0"/>
            <a:ext cx="0" cy="0"/>
          </xdr:xfrm>
          <a:graphic>
            <a:graphicData uri="http://schemas.microsoft.com/office/drawing/2010/slicer">
              <sle:slicer xmlns:sle="http://schemas.microsoft.com/office/drawing/2010/slicer" name="Student_ID"/>
            </a:graphicData>
          </a:graphic>
        </xdr:graphicFrame>
      </mc:Choice>
      <mc:Fallback xmlns="">
        <xdr:sp macro="" textlink="">
          <xdr:nvSpPr>
            <xdr:cNvPr id="0" name=""/>
            <xdr:cNvSpPr>
              <a:spLocks noTextEdit="1"/>
            </xdr:cNvSpPr>
          </xdr:nvSpPr>
          <xdr:spPr>
            <a:xfrm>
              <a:off x="28575" y="923925"/>
              <a:ext cx="1428750" cy="3848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257175</xdr:colOff>
      <xdr:row>5</xdr:row>
      <xdr:rowOff>104775</xdr:rowOff>
    </xdr:from>
    <xdr:to>
      <xdr:col>4</xdr:col>
      <xdr:colOff>165735</xdr:colOff>
      <xdr:row>8</xdr:row>
      <xdr:rowOff>173355</xdr:rowOff>
    </xdr:to>
    <mc:AlternateContent xmlns:mc="http://schemas.openxmlformats.org/markup-compatibility/2006" xmlns:a14="http://schemas.microsoft.com/office/drawing/2010/main">
      <mc:Choice Requires="a14">
        <xdr:graphicFrame macro="">
          <xdr:nvGraphicFramePr>
            <xdr:cNvPr id="3" name="Student_Age">
              <a:extLst>
                <a:ext uri="{FF2B5EF4-FFF2-40B4-BE49-F238E27FC236}">
                  <a16:creationId xmlns:a16="http://schemas.microsoft.com/office/drawing/2014/main" id="{155874D9-7BC5-6DDD-1B5F-A8DEC6257CD2}"/>
                </a:ext>
              </a:extLst>
            </xdr:cNvPr>
            <xdr:cNvGraphicFramePr/>
          </xdr:nvGraphicFramePr>
          <xdr:xfrm>
            <a:off x="0" y="0"/>
            <a:ext cx="0" cy="0"/>
          </xdr:xfrm>
          <a:graphic>
            <a:graphicData uri="http://schemas.microsoft.com/office/drawing/2010/slicer">
              <sle:slicer xmlns:sle="http://schemas.microsoft.com/office/drawing/2010/slicer" name="Student_Age"/>
            </a:graphicData>
          </a:graphic>
        </xdr:graphicFrame>
      </mc:Choice>
      <mc:Fallback xmlns="">
        <xdr:sp macro="" textlink="">
          <xdr:nvSpPr>
            <xdr:cNvPr id="0" name=""/>
            <xdr:cNvSpPr>
              <a:spLocks noTextEdit="1"/>
            </xdr:cNvSpPr>
          </xdr:nvSpPr>
          <xdr:spPr>
            <a:xfrm>
              <a:off x="1533525" y="1066800"/>
              <a:ext cx="173736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266700</xdr:colOff>
      <xdr:row>11</xdr:row>
      <xdr:rowOff>133350</xdr:rowOff>
    </xdr:from>
    <xdr:to>
      <xdr:col>3</xdr:col>
      <xdr:colOff>601980</xdr:colOff>
      <xdr:row>15</xdr:row>
      <xdr:rowOff>11430</xdr:rowOff>
    </xdr:to>
    <mc:AlternateContent xmlns:mc="http://schemas.openxmlformats.org/markup-compatibility/2006" xmlns:a14="http://schemas.microsoft.com/office/drawing/2010/main">
      <mc:Choice Requires="a14">
        <xdr:graphicFrame macro="">
          <xdr:nvGraphicFramePr>
            <xdr:cNvPr id="4" name="Sex">
              <a:extLst>
                <a:ext uri="{FF2B5EF4-FFF2-40B4-BE49-F238E27FC236}">
                  <a16:creationId xmlns:a16="http://schemas.microsoft.com/office/drawing/2014/main" id="{B2416196-5A28-76AA-F41E-090321C1047A}"/>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1543050" y="2238375"/>
              <a:ext cx="155448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228600</xdr:colOff>
      <xdr:row>18</xdr:row>
      <xdr:rowOff>57150</xdr:rowOff>
    </xdr:from>
    <xdr:to>
      <xdr:col>4</xdr:col>
      <xdr:colOff>411480</xdr:colOff>
      <xdr:row>21</xdr:row>
      <xdr:rowOff>125730</xdr:rowOff>
    </xdr:to>
    <mc:AlternateContent xmlns:mc="http://schemas.openxmlformats.org/markup-compatibility/2006" xmlns:a14="http://schemas.microsoft.com/office/drawing/2010/main">
      <mc:Choice Requires="a14">
        <xdr:graphicFrame macro="">
          <xdr:nvGraphicFramePr>
            <xdr:cNvPr id="5" name="High_School_Type">
              <a:extLst>
                <a:ext uri="{FF2B5EF4-FFF2-40B4-BE49-F238E27FC236}">
                  <a16:creationId xmlns:a16="http://schemas.microsoft.com/office/drawing/2014/main" id="{A56B9FA4-268D-F541-255E-D86202B40246}"/>
                </a:ext>
              </a:extLst>
            </xdr:cNvPr>
            <xdr:cNvGraphicFramePr/>
          </xdr:nvGraphicFramePr>
          <xdr:xfrm>
            <a:off x="0" y="0"/>
            <a:ext cx="0" cy="0"/>
          </xdr:xfrm>
          <a:graphic>
            <a:graphicData uri="http://schemas.microsoft.com/office/drawing/2010/slicer">
              <sle:slicer xmlns:sle="http://schemas.microsoft.com/office/drawing/2010/slicer" name="High_School_Type"/>
            </a:graphicData>
          </a:graphic>
        </xdr:graphicFrame>
      </mc:Choice>
      <mc:Fallback xmlns="">
        <xdr:sp macro="" textlink="">
          <xdr:nvSpPr>
            <xdr:cNvPr id="0" name=""/>
            <xdr:cNvSpPr>
              <a:spLocks noTextEdit="1"/>
            </xdr:cNvSpPr>
          </xdr:nvSpPr>
          <xdr:spPr>
            <a:xfrm>
              <a:off x="1504950" y="3495675"/>
              <a:ext cx="201168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495300</xdr:colOff>
      <xdr:row>11</xdr:row>
      <xdr:rowOff>95250</xdr:rowOff>
    </xdr:from>
    <xdr:to>
      <xdr:col>7</xdr:col>
      <xdr:colOff>228600</xdr:colOff>
      <xdr:row>14</xdr:row>
      <xdr:rowOff>163830</xdr:rowOff>
    </xdr:to>
    <mc:AlternateContent xmlns:mc="http://schemas.openxmlformats.org/markup-compatibility/2006" xmlns:a14="http://schemas.microsoft.com/office/drawing/2010/main">
      <mc:Choice Requires="a14">
        <xdr:graphicFrame macro="">
          <xdr:nvGraphicFramePr>
            <xdr:cNvPr id="6" name="Transportation">
              <a:extLst>
                <a:ext uri="{FF2B5EF4-FFF2-40B4-BE49-F238E27FC236}">
                  <a16:creationId xmlns:a16="http://schemas.microsoft.com/office/drawing/2014/main" id="{E3CF8FF8-03F8-413B-6CF9-AE06E3BD0498}"/>
                </a:ext>
              </a:extLst>
            </xdr:cNvPr>
            <xdr:cNvGraphicFramePr/>
          </xdr:nvGraphicFramePr>
          <xdr:xfrm>
            <a:off x="0" y="0"/>
            <a:ext cx="0" cy="0"/>
          </xdr:xfrm>
          <a:graphic>
            <a:graphicData uri="http://schemas.microsoft.com/office/drawing/2010/slicer">
              <sle:slicer xmlns:sle="http://schemas.microsoft.com/office/drawing/2010/slicer" name="Transportation"/>
            </a:graphicData>
          </a:graphic>
        </xdr:graphicFrame>
      </mc:Choice>
      <mc:Fallback xmlns="">
        <xdr:sp macro="" textlink="">
          <xdr:nvSpPr>
            <xdr:cNvPr id="0" name=""/>
            <xdr:cNvSpPr>
              <a:spLocks noTextEdit="1"/>
            </xdr:cNvSpPr>
          </xdr:nvSpPr>
          <xdr:spPr>
            <a:xfrm>
              <a:off x="3600450" y="2200275"/>
              <a:ext cx="182880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552450</xdr:colOff>
      <xdr:row>9</xdr:row>
      <xdr:rowOff>0</xdr:rowOff>
    </xdr:from>
    <xdr:to>
      <xdr:col>8</xdr:col>
      <xdr:colOff>154305</xdr:colOff>
      <xdr:row>22</xdr:row>
      <xdr:rowOff>47625</xdr:rowOff>
    </xdr:to>
    <mc:AlternateContent xmlns:mc="http://schemas.openxmlformats.org/markup-compatibility/2006" xmlns:a14="http://schemas.microsoft.com/office/drawing/2010/main">
      <mc:Choice Requires="a14">
        <xdr:graphicFrame macro="">
          <xdr:nvGraphicFramePr>
            <xdr:cNvPr id="7" name="Grade">
              <a:extLst>
                <a:ext uri="{FF2B5EF4-FFF2-40B4-BE49-F238E27FC236}">
                  <a16:creationId xmlns:a16="http://schemas.microsoft.com/office/drawing/2014/main" id="{115A3641-C3A1-F710-1053-870B7D0E337D}"/>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mlns="">
        <xdr:sp macro="" textlink="">
          <xdr:nvSpPr>
            <xdr:cNvPr id="0" name=""/>
            <xdr:cNvSpPr>
              <a:spLocks noTextEdit="1"/>
            </xdr:cNvSpPr>
          </xdr:nvSpPr>
          <xdr:spPr>
            <a:xfrm>
              <a:off x="5753100" y="1724025"/>
              <a:ext cx="109728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xdr:colOff>
      <xdr:row>1</xdr:row>
      <xdr:rowOff>19050</xdr:rowOff>
    </xdr:from>
    <xdr:to>
      <xdr:col>20</xdr:col>
      <xdr:colOff>581025</xdr:colOff>
      <xdr:row>25</xdr:row>
      <xdr:rowOff>171450</xdr:rowOff>
    </xdr:to>
    <xdr:grpSp>
      <xdr:nvGrpSpPr>
        <xdr:cNvPr id="21" name="Group 20">
          <a:extLst>
            <a:ext uri="{FF2B5EF4-FFF2-40B4-BE49-F238E27FC236}">
              <a16:creationId xmlns:a16="http://schemas.microsoft.com/office/drawing/2014/main" id="{D072DE04-214A-E962-217E-79F766AB8E5C}"/>
            </a:ext>
          </a:extLst>
        </xdr:cNvPr>
        <xdr:cNvGrpSpPr/>
      </xdr:nvGrpSpPr>
      <xdr:grpSpPr>
        <a:xfrm>
          <a:off x="209550" y="142875"/>
          <a:ext cx="12144375" cy="4724400"/>
          <a:chOff x="209550" y="142837"/>
          <a:chExt cx="12144375" cy="4715008"/>
        </a:xfrm>
      </xdr:grpSpPr>
      <xdr:sp macro="" textlink="">
        <xdr:nvSpPr>
          <xdr:cNvPr id="2" name="Rectangle: Rounded Corners 1">
            <a:extLst>
              <a:ext uri="{FF2B5EF4-FFF2-40B4-BE49-F238E27FC236}">
                <a16:creationId xmlns:a16="http://schemas.microsoft.com/office/drawing/2014/main" id="{9A7E22E8-9E11-4C2A-8A4A-7421E30DE8CA}"/>
              </a:ext>
            </a:extLst>
          </xdr:cNvPr>
          <xdr:cNvSpPr/>
        </xdr:nvSpPr>
        <xdr:spPr>
          <a:xfrm>
            <a:off x="209550" y="142837"/>
            <a:ext cx="12144375" cy="4715008"/>
          </a:xfrm>
          <a:prstGeom prst="roundRect">
            <a:avLst>
              <a:gd name="adj" fmla="val 3719"/>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sp macro="" textlink="">
        <xdr:nvSpPr>
          <xdr:cNvPr id="3" name="Rectangle: Rounded Corners 2">
            <a:extLst>
              <a:ext uri="{FF2B5EF4-FFF2-40B4-BE49-F238E27FC236}">
                <a16:creationId xmlns:a16="http://schemas.microsoft.com/office/drawing/2014/main" id="{62ECCEBC-8644-EF10-BDAC-2FF2E6E2F75C}"/>
              </a:ext>
            </a:extLst>
          </xdr:cNvPr>
          <xdr:cNvSpPr/>
        </xdr:nvSpPr>
        <xdr:spPr>
          <a:xfrm>
            <a:off x="1724024" y="219074"/>
            <a:ext cx="10601325" cy="4600575"/>
          </a:xfrm>
          <a:prstGeom prst="roundRect">
            <a:avLst>
              <a:gd name="adj" fmla="val 3719"/>
            </a:avLst>
          </a:prstGeom>
          <a:solidFill>
            <a:srgbClr val="8BB2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Rounded Corners 3">
            <a:extLst>
              <a:ext uri="{FF2B5EF4-FFF2-40B4-BE49-F238E27FC236}">
                <a16:creationId xmlns:a16="http://schemas.microsoft.com/office/drawing/2014/main" id="{A039C52D-FF57-F24D-4E46-8FEBE161447F}"/>
              </a:ext>
            </a:extLst>
          </xdr:cNvPr>
          <xdr:cNvSpPr/>
        </xdr:nvSpPr>
        <xdr:spPr>
          <a:xfrm>
            <a:off x="1828799" y="276225"/>
            <a:ext cx="10382249" cy="438150"/>
          </a:xfrm>
          <a:prstGeom prst="roundRect">
            <a:avLst>
              <a:gd name="adj" fmla="val 36328"/>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SUMMARY</a:t>
            </a:r>
          </a:p>
        </xdr:txBody>
      </xdr:sp>
      <xdr:sp macro="" textlink="">
        <xdr:nvSpPr>
          <xdr:cNvPr id="7" name="Rectangle: Rounded Corners 6">
            <a:extLst>
              <a:ext uri="{FF2B5EF4-FFF2-40B4-BE49-F238E27FC236}">
                <a16:creationId xmlns:a16="http://schemas.microsoft.com/office/drawing/2014/main" id="{4DB0D8C0-8EA8-D3F3-3A51-12C239F21AF3}"/>
              </a:ext>
            </a:extLst>
          </xdr:cNvPr>
          <xdr:cNvSpPr/>
        </xdr:nvSpPr>
        <xdr:spPr>
          <a:xfrm>
            <a:off x="247650" y="190499"/>
            <a:ext cx="1381125" cy="542926"/>
          </a:xfrm>
          <a:prstGeom prst="roundRect">
            <a:avLst>
              <a:gd name="adj" fmla="val 30667"/>
            </a:avLst>
          </a:prstGeom>
          <a:solidFill>
            <a:srgbClr val="8BB2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50" b="1"/>
              <a:t>STUDENTS</a:t>
            </a:r>
          </a:p>
          <a:p>
            <a:pPr algn="ctr"/>
            <a:r>
              <a:rPr lang="en-US" sz="1050" b="1"/>
              <a:t>PERFORMANCE</a:t>
            </a:r>
          </a:p>
        </xdr:txBody>
      </xdr:sp>
      <mc:AlternateContent xmlns:mc="http://schemas.openxmlformats.org/markup-compatibility/2006">
        <mc:Choice xmlns:a14="http://schemas.microsoft.com/office/drawing/2010/main" Requires="a14">
          <xdr:graphicFrame macro="">
            <xdr:nvGraphicFramePr>
              <xdr:cNvPr id="8" name="Student_ID 1">
                <a:extLst>
                  <a:ext uri="{FF2B5EF4-FFF2-40B4-BE49-F238E27FC236}">
                    <a16:creationId xmlns:a16="http://schemas.microsoft.com/office/drawing/2014/main" id="{4C312F2D-9FCE-4FD3-8E31-E8A9EE92B381}"/>
                  </a:ext>
                </a:extLst>
              </xdr:cNvPr>
              <xdr:cNvGraphicFramePr/>
            </xdr:nvGraphicFramePr>
            <xdr:xfrm>
              <a:off x="276224" y="771523"/>
              <a:ext cx="1428750" cy="4000501"/>
            </xdr:xfrm>
            <a:graphic>
              <a:graphicData uri="http://schemas.microsoft.com/office/drawing/2010/slicer">
                <sle:slicer xmlns:sle="http://schemas.microsoft.com/office/drawing/2010/slicer" name="Student_ID 1"/>
              </a:graphicData>
            </a:graphic>
          </xdr:graphicFrame>
        </mc:Choice>
        <mc:Fallback>
          <xdr:sp macro="" textlink="">
            <xdr:nvSpPr>
              <xdr:cNvPr id="0" name=""/>
              <xdr:cNvSpPr>
                <a:spLocks noTextEdit="1"/>
              </xdr:cNvSpPr>
            </xdr:nvSpPr>
            <xdr:spPr>
              <a:xfrm>
                <a:off x="276224" y="772813"/>
                <a:ext cx="1428750" cy="40084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9" name="Rectangle: Rounded Corners 8">
            <a:extLst>
              <a:ext uri="{FF2B5EF4-FFF2-40B4-BE49-F238E27FC236}">
                <a16:creationId xmlns:a16="http://schemas.microsoft.com/office/drawing/2014/main" id="{7570F555-5589-49B5-A675-665D69D1D00E}"/>
              </a:ext>
            </a:extLst>
          </xdr:cNvPr>
          <xdr:cNvSpPr/>
        </xdr:nvSpPr>
        <xdr:spPr>
          <a:xfrm>
            <a:off x="1762123" y="742949"/>
            <a:ext cx="1645920" cy="542926"/>
          </a:xfrm>
          <a:prstGeom prst="roundRect">
            <a:avLst>
              <a:gd name="adj" fmla="val 30667"/>
            </a:avLst>
          </a:prstGeom>
          <a:solidFill>
            <a:srgbClr val="0036A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050" b="1"/>
              <a:t>Total</a:t>
            </a:r>
            <a:r>
              <a:rPr lang="en-US" sz="1050" b="1" baseline="0"/>
              <a:t> Students</a:t>
            </a:r>
            <a:endParaRPr lang="en-US" sz="1050" b="1"/>
          </a:p>
        </xdr:txBody>
      </xdr:sp>
      <mc:AlternateContent xmlns:mc="http://schemas.openxmlformats.org/markup-compatibility/2006">
        <mc:Choice xmlns:a14="http://schemas.microsoft.com/office/drawing/2010/main" Requires="a14">
          <xdr:graphicFrame macro="">
            <xdr:nvGraphicFramePr>
              <xdr:cNvPr id="10" name="Student_Age 1">
                <a:extLst>
                  <a:ext uri="{FF2B5EF4-FFF2-40B4-BE49-F238E27FC236}">
                    <a16:creationId xmlns:a16="http://schemas.microsoft.com/office/drawing/2014/main" id="{E2C76C57-DF16-4308-BA1F-51990E280592}"/>
                  </a:ext>
                </a:extLst>
              </xdr:cNvPr>
              <xdr:cNvGraphicFramePr/>
            </xdr:nvGraphicFramePr>
            <xdr:xfrm>
              <a:off x="6819899" y="752474"/>
              <a:ext cx="1737360" cy="640080"/>
            </xdr:xfrm>
            <a:graphic>
              <a:graphicData uri="http://schemas.microsoft.com/office/drawing/2010/slicer">
                <sle:slicer xmlns:sle="http://schemas.microsoft.com/office/drawing/2010/slicer" name="Student_Age 1"/>
              </a:graphicData>
            </a:graphic>
          </xdr:graphicFrame>
        </mc:Choice>
        <mc:Fallback>
          <xdr:sp macro="" textlink="">
            <xdr:nvSpPr>
              <xdr:cNvPr id="0" name=""/>
              <xdr:cNvSpPr>
                <a:spLocks noTextEdit="1"/>
              </xdr:cNvSpPr>
            </xdr:nvSpPr>
            <xdr:spPr>
              <a:xfrm>
                <a:off x="6819899" y="753726"/>
                <a:ext cx="1737360" cy="6413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1" name="Sex 1">
                <a:extLst>
                  <a:ext uri="{FF2B5EF4-FFF2-40B4-BE49-F238E27FC236}">
                    <a16:creationId xmlns:a16="http://schemas.microsoft.com/office/drawing/2014/main" id="{EAF596C8-39D9-4370-8164-D68B7CE7E957}"/>
                  </a:ext>
                </a:extLst>
              </xdr:cNvPr>
              <xdr:cNvGraphicFramePr/>
            </xdr:nvGraphicFramePr>
            <xdr:xfrm>
              <a:off x="8601074" y="752474"/>
              <a:ext cx="1554480" cy="640080"/>
            </xdr:xfrm>
            <a:graphic>
              <a:graphicData uri="http://schemas.microsoft.com/office/drawing/2010/slicer">
                <sle:slicer xmlns:sle="http://schemas.microsoft.com/office/drawing/2010/slicer" name="Sex 1"/>
              </a:graphicData>
            </a:graphic>
          </xdr:graphicFrame>
        </mc:Choice>
        <mc:Fallback>
          <xdr:sp macro="" textlink="">
            <xdr:nvSpPr>
              <xdr:cNvPr id="0" name=""/>
              <xdr:cNvSpPr>
                <a:spLocks noTextEdit="1"/>
              </xdr:cNvSpPr>
            </xdr:nvSpPr>
            <xdr:spPr>
              <a:xfrm>
                <a:off x="8601074" y="753726"/>
                <a:ext cx="1554480" cy="6413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2" name="High_School_Type 1">
                <a:extLst>
                  <a:ext uri="{FF2B5EF4-FFF2-40B4-BE49-F238E27FC236}">
                    <a16:creationId xmlns:a16="http://schemas.microsoft.com/office/drawing/2014/main" id="{CEADFE3A-45AD-4BF6-8C9B-6248C9E75D04}"/>
                  </a:ext>
                </a:extLst>
              </xdr:cNvPr>
              <xdr:cNvGraphicFramePr/>
            </xdr:nvGraphicFramePr>
            <xdr:xfrm>
              <a:off x="10220324" y="752474"/>
              <a:ext cx="2011680" cy="640080"/>
            </xdr:xfrm>
            <a:graphic>
              <a:graphicData uri="http://schemas.microsoft.com/office/drawing/2010/slicer">
                <sle:slicer xmlns:sle="http://schemas.microsoft.com/office/drawing/2010/slicer" name="High_School_Type 1"/>
              </a:graphicData>
            </a:graphic>
          </xdr:graphicFrame>
        </mc:Choice>
        <mc:Fallback>
          <xdr:sp macro="" textlink="">
            <xdr:nvSpPr>
              <xdr:cNvPr id="0" name=""/>
              <xdr:cNvSpPr>
                <a:spLocks noTextEdit="1"/>
              </xdr:cNvSpPr>
            </xdr:nvSpPr>
            <xdr:spPr>
              <a:xfrm>
                <a:off x="10220324" y="753726"/>
                <a:ext cx="2011680" cy="6413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5" name="Rectangle: Rounded Corners 4">
            <a:extLst>
              <a:ext uri="{FF2B5EF4-FFF2-40B4-BE49-F238E27FC236}">
                <a16:creationId xmlns:a16="http://schemas.microsoft.com/office/drawing/2014/main" id="{7B52065E-B2E5-4F7E-BE74-5C723BD8E016}"/>
              </a:ext>
            </a:extLst>
          </xdr:cNvPr>
          <xdr:cNvSpPr/>
        </xdr:nvSpPr>
        <xdr:spPr>
          <a:xfrm>
            <a:off x="5124448" y="742949"/>
            <a:ext cx="1645920" cy="542926"/>
          </a:xfrm>
          <a:prstGeom prst="roundRect">
            <a:avLst>
              <a:gd name="adj" fmla="val 30667"/>
            </a:avLst>
          </a:prstGeom>
          <a:solidFill>
            <a:srgbClr val="0036A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100" b="1" i="0" u="none" strike="noStrike">
                <a:solidFill>
                  <a:schemeClr val="lt1"/>
                </a:solidFill>
                <a:effectLst/>
                <a:latin typeface="+mn-lt"/>
                <a:ea typeface="+mn-ea"/>
                <a:cs typeface="+mn-cs"/>
              </a:rPr>
              <a:t>Transportation</a:t>
            </a:r>
            <a:r>
              <a:rPr lang="en-US" sz="1050">
                <a:effectLst/>
              </a:rPr>
              <a:t> </a:t>
            </a:r>
            <a:endParaRPr lang="en-US" sz="1050" b="1"/>
          </a:p>
        </xdr:txBody>
      </xdr:sp>
      <xdr:sp macro="" textlink="">
        <xdr:nvSpPr>
          <xdr:cNvPr id="6" name="Rectangle: Rounded Corners 5">
            <a:extLst>
              <a:ext uri="{FF2B5EF4-FFF2-40B4-BE49-F238E27FC236}">
                <a16:creationId xmlns:a16="http://schemas.microsoft.com/office/drawing/2014/main" id="{B3C6315F-29F2-4F96-BCA0-0596FA30CAC1}"/>
              </a:ext>
            </a:extLst>
          </xdr:cNvPr>
          <xdr:cNvSpPr/>
        </xdr:nvSpPr>
        <xdr:spPr>
          <a:xfrm>
            <a:off x="3438523" y="742949"/>
            <a:ext cx="1645920" cy="542926"/>
          </a:xfrm>
          <a:prstGeom prst="roundRect">
            <a:avLst>
              <a:gd name="adj" fmla="val 30667"/>
            </a:avLst>
          </a:prstGeom>
          <a:solidFill>
            <a:srgbClr val="0036A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100" b="1" i="0" u="none" strike="noStrike">
                <a:solidFill>
                  <a:schemeClr val="lt1"/>
                </a:solidFill>
                <a:effectLst/>
                <a:latin typeface="+mn-lt"/>
                <a:ea typeface="+mn-ea"/>
                <a:cs typeface="+mn-cs"/>
              </a:rPr>
              <a:t>High_School_Type</a:t>
            </a:r>
            <a:r>
              <a:rPr lang="en-US" sz="1050">
                <a:effectLst/>
              </a:rPr>
              <a:t> </a:t>
            </a:r>
            <a:endParaRPr lang="en-US" sz="1050" b="1"/>
          </a:p>
        </xdr:txBody>
      </xdr:sp>
      <xdr:pic>
        <xdr:nvPicPr>
          <xdr:cNvPr id="14" name="Graphic 13" descr="Graduation cap with solid fill">
            <a:extLst>
              <a:ext uri="{FF2B5EF4-FFF2-40B4-BE49-F238E27FC236}">
                <a16:creationId xmlns:a16="http://schemas.microsoft.com/office/drawing/2014/main" id="{F527B6E3-3456-295C-C839-5A80E6DADEA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9275" y="714375"/>
            <a:ext cx="485775" cy="542925"/>
          </a:xfrm>
          <a:prstGeom prst="rect">
            <a:avLst/>
          </a:prstGeom>
        </xdr:spPr>
      </xdr:pic>
      <xdr:pic>
        <xdr:nvPicPr>
          <xdr:cNvPr id="16" name="Graphic 15" descr="Bus with solid fill">
            <a:extLst>
              <a:ext uri="{FF2B5EF4-FFF2-40B4-BE49-F238E27FC236}">
                <a16:creationId xmlns:a16="http://schemas.microsoft.com/office/drawing/2014/main" id="{35A4011E-29C7-F711-89F9-6D97D01036D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153024" y="723900"/>
            <a:ext cx="523875" cy="552451"/>
          </a:xfrm>
          <a:prstGeom prst="rect">
            <a:avLst/>
          </a:prstGeom>
        </xdr:spPr>
      </xdr:pic>
      <xdr:pic>
        <xdr:nvPicPr>
          <xdr:cNvPr id="18" name="Graphic 17" descr="Schoolhouse with solid fill">
            <a:extLst>
              <a:ext uri="{FF2B5EF4-FFF2-40B4-BE49-F238E27FC236}">
                <a16:creationId xmlns:a16="http://schemas.microsoft.com/office/drawing/2014/main" id="{252CDE91-7ACC-856F-914C-B7DF241AB29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476625" y="762000"/>
            <a:ext cx="400050" cy="485775"/>
          </a:xfrm>
          <a:prstGeom prst="rect">
            <a:avLst/>
          </a:prstGeom>
        </xdr:spPr>
      </xdr:pic>
      <mc:AlternateContent xmlns:mc="http://schemas.openxmlformats.org/markup-compatibility/2006">
        <mc:Choice xmlns:a14="http://schemas.microsoft.com/office/drawing/2010/main" Requires="a14">
          <xdr:graphicFrame macro="">
            <xdr:nvGraphicFramePr>
              <xdr:cNvPr id="19" name="Grade 1">
                <a:extLst>
                  <a:ext uri="{FF2B5EF4-FFF2-40B4-BE49-F238E27FC236}">
                    <a16:creationId xmlns:a16="http://schemas.microsoft.com/office/drawing/2014/main" id="{A1B59A97-164D-49EA-AC89-A74FB229C135}"/>
                  </a:ext>
                </a:extLst>
              </xdr:cNvPr>
              <xdr:cNvGraphicFramePr/>
            </xdr:nvGraphicFramePr>
            <xdr:xfrm>
              <a:off x="10258424" y="2143123"/>
              <a:ext cx="1933576" cy="2560320"/>
            </xdr:xfrm>
            <a:graphic>
              <a:graphicData uri="http://schemas.microsoft.com/office/drawing/2010/slicer">
                <sle:slicer xmlns:sle="http://schemas.microsoft.com/office/drawing/2010/slicer" name="Grade 1"/>
              </a:graphicData>
            </a:graphic>
          </xdr:graphicFrame>
        </mc:Choice>
        <mc:Fallback>
          <xdr:sp macro="" textlink="">
            <xdr:nvSpPr>
              <xdr:cNvPr id="0" name=""/>
              <xdr:cNvSpPr>
                <a:spLocks noTextEdit="1"/>
              </xdr:cNvSpPr>
            </xdr:nvSpPr>
            <xdr:spPr>
              <a:xfrm>
                <a:off x="10258424" y="2147145"/>
                <a:ext cx="1933576" cy="2565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0" name="Transportation 1">
                <a:extLst>
                  <a:ext uri="{FF2B5EF4-FFF2-40B4-BE49-F238E27FC236}">
                    <a16:creationId xmlns:a16="http://schemas.microsoft.com/office/drawing/2014/main" id="{2F9C9065-7189-4F0A-BCA2-387F6A0A7AE8}"/>
                  </a:ext>
                </a:extLst>
              </xdr:cNvPr>
              <xdr:cNvGraphicFramePr/>
            </xdr:nvGraphicFramePr>
            <xdr:xfrm>
              <a:off x="10229849" y="1428749"/>
              <a:ext cx="1990726" cy="640080"/>
            </xdr:xfrm>
            <a:graphic>
              <a:graphicData uri="http://schemas.microsoft.com/office/drawing/2010/slicer">
                <sle:slicer xmlns:sle="http://schemas.microsoft.com/office/drawing/2010/slicer" name="Transportation 1"/>
              </a:graphicData>
            </a:graphic>
          </xdr:graphicFrame>
        </mc:Choice>
        <mc:Fallback>
          <xdr:sp macro="" textlink="">
            <xdr:nvSpPr>
              <xdr:cNvPr id="0" name=""/>
              <xdr:cNvSpPr>
                <a:spLocks noTextEdit="1"/>
              </xdr:cNvSpPr>
            </xdr:nvSpPr>
            <xdr:spPr>
              <a:xfrm>
                <a:off x="10229849" y="1431348"/>
                <a:ext cx="1990726" cy="6413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23" name="Chart 22">
            <a:extLst>
              <a:ext uri="{FF2B5EF4-FFF2-40B4-BE49-F238E27FC236}">
                <a16:creationId xmlns:a16="http://schemas.microsoft.com/office/drawing/2014/main" id="{7889E739-A1E8-4F0E-B5B0-1AB18080CB56}"/>
              </a:ext>
            </a:extLst>
          </xdr:cNvPr>
          <xdr:cNvGraphicFramePr>
            <a:graphicFrameLocks/>
          </xdr:cNvGraphicFramePr>
        </xdr:nvGraphicFramePr>
        <xdr:xfrm>
          <a:off x="4619624" y="3257549"/>
          <a:ext cx="2114550" cy="1485902"/>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24" name="Chart 23">
            <a:extLst>
              <a:ext uri="{FF2B5EF4-FFF2-40B4-BE49-F238E27FC236}">
                <a16:creationId xmlns:a16="http://schemas.microsoft.com/office/drawing/2014/main" id="{DC9714F1-609C-431B-8CE0-5D3A75627B43}"/>
              </a:ext>
            </a:extLst>
          </xdr:cNvPr>
          <xdr:cNvGraphicFramePr>
            <a:graphicFrameLocks/>
          </xdr:cNvGraphicFramePr>
        </xdr:nvGraphicFramePr>
        <xdr:xfrm>
          <a:off x="4238623" y="1323973"/>
          <a:ext cx="2476501" cy="1828800"/>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25" name="Chart 24">
            <a:extLst>
              <a:ext uri="{FF2B5EF4-FFF2-40B4-BE49-F238E27FC236}">
                <a16:creationId xmlns:a16="http://schemas.microsoft.com/office/drawing/2014/main" id="{98E2AD95-D197-48E1-B3D0-5668C85E7A7F}"/>
              </a:ext>
            </a:extLst>
          </xdr:cNvPr>
          <xdr:cNvGraphicFramePr>
            <a:graphicFrameLocks/>
          </xdr:cNvGraphicFramePr>
        </xdr:nvGraphicFramePr>
        <xdr:xfrm>
          <a:off x="1771650" y="3248024"/>
          <a:ext cx="2790825" cy="1481138"/>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26" name="Chart 25">
            <a:extLst>
              <a:ext uri="{FF2B5EF4-FFF2-40B4-BE49-F238E27FC236}">
                <a16:creationId xmlns:a16="http://schemas.microsoft.com/office/drawing/2014/main" id="{C756059A-5737-4B7F-9BC4-D27C82598426}"/>
              </a:ext>
            </a:extLst>
          </xdr:cNvPr>
          <xdr:cNvGraphicFramePr>
            <a:graphicFrameLocks/>
          </xdr:cNvGraphicFramePr>
        </xdr:nvGraphicFramePr>
        <xdr:xfrm>
          <a:off x="6810374" y="1438274"/>
          <a:ext cx="3333751" cy="173736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27" name="Chart 26">
            <a:extLst>
              <a:ext uri="{FF2B5EF4-FFF2-40B4-BE49-F238E27FC236}">
                <a16:creationId xmlns:a16="http://schemas.microsoft.com/office/drawing/2014/main" id="{83323CD2-DE69-4955-B4E5-5DED5ED7962C}"/>
              </a:ext>
            </a:extLst>
          </xdr:cNvPr>
          <xdr:cNvGraphicFramePr>
            <a:graphicFrameLocks/>
          </xdr:cNvGraphicFramePr>
        </xdr:nvGraphicFramePr>
        <xdr:xfrm>
          <a:off x="6800849" y="3257549"/>
          <a:ext cx="3333751" cy="1495426"/>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28" name="Chart 27">
            <a:extLst>
              <a:ext uri="{FF2B5EF4-FFF2-40B4-BE49-F238E27FC236}">
                <a16:creationId xmlns:a16="http://schemas.microsoft.com/office/drawing/2014/main" id="{587D6177-7E9D-484A-8AB2-E9F6AC870808}"/>
              </a:ext>
            </a:extLst>
          </xdr:cNvPr>
          <xdr:cNvGraphicFramePr>
            <a:graphicFrameLocks/>
          </xdr:cNvGraphicFramePr>
        </xdr:nvGraphicFramePr>
        <xdr:xfrm>
          <a:off x="1790699" y="1333499"/>
          <a:ext cx="2377440" cy="1828800"/>
        </xdr:xfrm>
        <a:graphic>
          <a:graphicData uri="http://schemas.openxmlformats.org/drawingml/2006/chart">
            <c:chart xmlns:c="http://schemas.openxmlformats.org/drawingml/2006/chart" xmlns:r="http://schemas.openxmlformats.org/officeDocument/2006/relationships" r:id="rId12"/>
          </a:graphicData>
        </a:graphic>
      </xdr:graphicFrame>
      <xdr:sp macro="" textlink="'Pivot Table 2nd'!I3">
        <xdr:nvSpPr>
          <xdr:cNvPr id="13" name="Rectangle: Rounded Corners 12">
            <a:extLst>
              <a:ext uri="{FF2B5EF4-FFF2-40B4-BE49-F238E27FC236}">
                <a16:creationId xmlns:a16="http://schemas.microsoft.com/office/drawing/2014/main" id="{DFA22BB3-FE8C-4AD4-8C29-88FECDEB029E}"/>
              </a:ext>
            </a:extLst>
          </xdr:cNvPr>
          <xdr:cNvSpPr/>
        </xdr:nvSpPr>
        <xdr:spPr>
          <a:xfrm>
            <a:off x="5886449" y="1038224"/>
            <a:ext cx="457200" cy="182880"/>
          </a:xfrm>
          <a:prstGeom prst="roundRect">
            <a:avLst>
              <a:gd name="adj" fmla="val 30667"/>
            </a:avLst>
          </a:prstGeom>
          <a:solidFill>
            <a:srgbClr val="0036A2"/>
          </a:solidFill>
          <a:ln>
            <a:solidFill>
              <a:srgbClr val="0036A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3B3D08B2-6808-417D-A1B5-8F3E6B92DFDF}" type="TxLink">
              <a:rPr lang="en-US" sz="1600" b="1" i="0" u="none" strike="noStrike">
                <a:solidFill>
                  <a:schemeClr val="bg1"/>
                </a:solidFill>
                <a:latin typeface="Calibri"/>
                <a:ea typeface="Calibri"/>
                <a:cs typeface="Calibri"/>
              </a:rPr>
              <a:pPr algn="r"/>
              <a:t>2</a:t>
            </a:fld>
            <a:endParaRPr lang="en-US" sz="1400" b="1">
              <a:solidFill>
                <a:schemeClr val="bg1"/>
              </a:solidFill>
            </a:endParaRPr>
          </a:p>
        </xdr:txBody>
      </xdr:sp>
      <xdr:sp macro="" textlink="'Pivot Table 2nd'!A2">
        <xdr:nvSpPr>
          <xdr:cNvPr id="15" name="Rectangle: Rounded Corners 14">
            <a:extLst>
              <a:ext uri="{FF2B5EF4-FFF2-40B4-BE49-F238E27FC236}">
                <a16:creationId xmlns:a16="http://schemas.microsoft.com/office/drawing/2014/main" id="{EABF5A58-4D52-4985-88CC-36C1C6DE0051}"/>
              </a:ext>
            </a:extLst>
          </xdr:cNvPr>
          <xdr:cNvSpPr/>
        </xdr:nvSpPr>
        <xdr:spPr>
          <a:xfrm>
            <a:off x="2476499" y="1038224"/>
            <a:ext cx="548640" cy="182880"/>
          </a:xfrm>
          <a:prstGeom prst="roundRect">
            <a:avLst>
              <a:gd name="adj" fmla="val 30667"/>
            </a:avLst>
          </a:prstGeom>
          <a:solidFill>
            <a:srgbClr val="0036A2"/>
          </a:solidFill>
          <a:ln>
            <a:solidFill>
              <a:srgbClr val="0036A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0DAD05B8-7CF2-4A16-9502-4597212CCF15}" type="TxLink">
              <a:rPr lang="en-US" sz="1600" b="1" i="0" u="none" strike="noStrike">
                <a:solidFill>
                  <a:schemeClr val="bg1"/>
                </a:solidFill>
                <a:latin typeface="Calibri"/>
                <a:ea typeface="Calibri"/>
                <a:cs typeface="Calibri"/>
              </a:rPr>
              <a:pPr algn="r"/>
              <a:t>145</a:t>
            </a:fld>
            <a:endParaRPr lang="en-US" sz="2000" b="1" i="0" u="none" strike="noStrike">
              <a:solidFill>
                <a:schemeClr val="bg1"/>
              </a:solidFill>
              <a:latin typeface="Calibri"/>
              <a:ea typeface="Calibri"/>
              <a:cs typeface="Calibri"/>
            </a:endParaRPr>
          </a:p>
        </xdr:txBody>
      </xdr:sp>
      <xdr:sp macro="" textlink="'Pivot Table 2nd'!G3">
        <xdr:nvSpPr>
          <xdr:cNvPr id="17" name="Rectangle: Rounded Corners 16">
            <a:extLst>
              <a:ext uri="{FF2B5EF4-FFF2-40B4-BE49-F238E27FC236}">
                <a16:creationId xmlns:a16="http://schemas.microsoft.com/office/drawing/2014/main" id="{FC7110F5-4682-4CB0-8D3B-CA9C2C084A61}"/>
              </a:ext>
            </a:extLst>
          </xdr:cNvPr>
          <xdr:cNvSpPr/>
        </xdr:nvSpPr>
        <xdr:spPr>
          <a:xfrm>
            <a:off x="4133849" y="1028699"/>
            <a:ext cx="365760" cy="182880"/>
          </a:xfrm>
          <a:prstGeom prst="roundRect">
            <a:avLst>
              <a:gd name="adj" fmla="val 30667"/>
            </a:avLst>
          </a:prstGeom>
          <a:solidFill>
            <a:srgbClr val="0036A2"/>
          </a:solidFill>
          <a:ln>
            <a:solidFill>
              <a:srgbClr val="0036A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E4D43C3D-9075-42D0-95B6-DD54F27F41C2}" type="TxLink">
              <a:rPr lang="en-US" sz="1600" b="1" i="0" u="none" strike="noStrike">
                <a:solidFill>
                  <a:schemeClr val="bg1"/>
                </a:solidFill>
                <a:latin typeface="Calibri"/>
                <a:ea typeface="Calibri"/>
                <a:cs typeface="Calibri"/>
              </a:rPr>
              <a:pPr algn="r"/>
              <a:t>3</a:t>
            </a:fld>
            <a:endParaRPr lang="en-US" sz="2000" b="1" i="0" u="none" strike="noStrike">
              <a:solidFill>
                <a:schemeClr val="bg1"/>
              </a:solidFill>
              <a:latin typeface="Calibri"/>
              <a:ea typeface="Calibri"/>
              <a:cs typeface="Calibri"/>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mal Gupta" refreshedDate="46066.9499119213" createdVersion="8" refreshedVersion="8" minRefreshableVersion="3" recordCount="145" xr:uid="{E3BDCFE9-7F7F-40C2-9207-ACDB947E7A70}">
  <cacheSource type="worksheet">
    <worksheetSource ref="A1:O146" sheet="Students Performance "/>
  </cacheSource>
  <cacheFields count="15">
    <cacheField name="Student_ID" numFmtId="0">
      <sharedItems count="145">
        <s v="STUDENT1"/>
        <s v="STUDENT2"/>
        <s v="STUDENT3"/>
        <s v="STUDENT4"/>
        <s v="STUDENT5"/>
        <s v="STUDENT6"/>
        <s v="STUDENT7"/>
        <s v="STUDENT8"/>
        <s v="STUDENT9"/>
        <s v="STUDENT10"/>
        <s v="STUDENT11"/>
        <s v="STUDENT12"/>
        <s v="STUDENT13"/>
        <s v="STUDENT14"/>
        <s v="STUDENT15"/>
        <s v="STUDENT16"/>
        <s v="STUDENT17"/>
        <s v="STUDENT18"/>
        <s v="STUDENT19"/>
        <s v="STUDENT20"/>
        <s v="STUDENT21"/>
        <s v="STUDENT22"/>
        <s v="STUDENT23"/>
        <s v="STUDENT24"/>
        <s v="STUDENT25"/>
        <s v="STUDENT26"/>
        <s v="STUDENT27"/>
        <s v="STUDENT28"/>
        <s v="STUDENT29"/>
        <s v="STUDENT30"/>
        <s v="STUDENT31"/>
        <s v="STUDENT32"/>
        <s v="STUDENT33"/>
        <s v="STUDENT34"/>
        <s v="STUDENT35"/>
        <s v="STUDENT36"/>
        <s v="STUDENT37"/>
        <s v="STUDENT38"/>
        <s v="STUDENT39"/>
        <s v="STUDENT40"/>
        <s v="STUDENT41"/>
        <s v="STUDENT42"/>
        <s v="STUDENT43"/>
        <s v="STUDENT44"/>
        <s v="STUDENT45"/>
        <s v="STUDENT46"/>
        <s v="STUDENT47"/>
        <s v="STUDENT48"/>
        <s v="STUDENT49"/>
        <s v="STUDENT50"/>
        <s v="STUDENT51"/>
        <s v="STUDENT52"/>
        <s v="STUDENT53"/>
        <s v="STUDENT54"/>
        <s v="STUDENT55"/>
        <s v="STUDENT56"/>
        <s v="STUDENT57"/>
        <s v="STUDENT58"/>
        <s v="STUDENT59"/>
        <s v="STUDENT60"/>
        <s v="STUDENT61"/>
        <s v="STUDENT62"/>
        <s v="STUDENT63"/>
        <s v="STUDENT64"/>
        <s v="STUDENT65"/>
        <s v="STUDENT66"/>
        <s v="STUDENT67"/>
        <s v="STUDENT68"/>
        <s v="STUDENT69"/>
        <s v="STUDENT70"/>
        <s v="STUDENT71"/>
        <s v="STUDENT72"/>
        <s v="STUDENT73"/>
        <s v="STUDENT74"/>
        <s v="STUDENT75"/>
        <s v="STUDENT76"/>
        <s v="STUDENT77"/>
        <s v="STUDENT78"/>
        <s v="STUDENT79"/>
        <s v="STUDENT80"/>
        <s v="STUDENT81"/>
        <s v="STUDENT82"/>
        <s v="STUDENT83"/>
        <s v="STUDENT84"/>
        <s v="STUDENT85"/>
        <s v="STUDENT86"/>
        <s v="STUDENT87"/>
        <s v="STUDENT88"/>
        <s v="STUDENT89"/>
        <s v="STUDENT90"/>
        <s v="STUDENT91"/>
        <s v="STUDENT92"/>
        <s v="STUDENT93"/>
        <s v="STUDENT94"/>
        <s v="STUDENT95"/>
        <s v="STUDENT96"/>
        <s v="STUDENT97"/>
        <s v="STUDENT98"/>
        <s v="STUDENT99"/>
        <s v="STUDENT100"/>
        <s v="STUDENT101"/>
        <s v="STUDENT102"/>
        <s v="STUDENT103"/>
        <s v="STUDENT104"/>
        <s v="STUDENT105"/>
        <s v="STUDENT106"/>
        <s v="STUDENT107"/>
        <s v="STUDENT108"/>
        <s v="STUDENT109"/>
        <s v="STUDENT110"/>
        <s v="STUDENT111"/>
        <s v="STUDENT112"/>
        <s v="STUDENT113"/>
        <s v="STUDENT114"/>
        <s v="STUDENT115"/>
        <s v="STUDENT116"/>
        <s v="STUDENT117"/>
        <s v="STUDENT118"/>
        <s v="STUDENT119"/>
        <s v="STUDENT120"/>
        <s v="STUDENT121"/>
        <s v="STUDENT122"/>
        <s v="STUDENT123"/>
        <s v="STUDENT124"/>
        <s v="STUDENT125"/>
        <s v="STUDENT126"/>
        <s v="STUDENT127"/>
        <s v="STUDENT128"/>
        <s v="STUDENT129"/>
        <s v="STUDENT130"/>
        <s v="STUDENT131"/>
        <s v="STUDENT132"/>
        <s v="STUDENT133"/>
        <s v="STUDENT134"/>
        <s v="STUDENT135"/>
        <s v="STUDENT136"/>
        <s v="STUDENT137"/>
        <s v="STUDENT138"/>
        <s v="STUDENT139"/>
        <s v="STUDENT140"/>
        <s v="STUDENT141"/>
        <s v="STUDENT142"/>
        <s v="STUDENT143"/>
        <s v="STUDENT144"/>
        <s v="STUDENT145"/>
      </sharedItems>
    </cacheField>
    <cacheField name="Student_Age" numFmtId="0">
      <sharedItems containsMixedTypes="1" containsNumber="1" containsInteger="1" minValue="18" maxValue="18" count="3">
        <s v="19-22"/>
        <n v="18"/>
        <s v="23-27"/>
      </sharedItems>
    </cacheField>
    <cacheField name="Sex" numFmtId="0">
      <sharedItems count="2">
        <s v="Male"/>
        <s v="Female"/>
      </sharedItems>
    </cacheField>
    <cacheField name="High_School_Type" numFmtId="0">
      <sharedItems count="3">
        <s v="Other"/>
        <s v="State"/>
        <s v="Private"/>
      </sharedItems>
    </cacheField>
    <cacheField name="Scholarship" numFmtId="0">
      <sharedItems containsMixedTypes="1" containsNumber="1" minValue="0.25" maxValue="1" count="5">
        <n v="0.5"/>
        <n v="0.75"/>
        <n v="1"/>
        <n v="0.25"/>
        <s v="None"/>
      </sharedItems>
    </cacheField>
    <cacheField name="Additional_Work" numFmtId="0">
      <sharedItems/>
    </cacheField>
    <cacheField name="Sports_activity" numFmtId="0">
      <sharedItems/>
    </cacheField>
    <cacheField name="Transportation" numFmtId="0">
      <sharedItems count="2">
        <s v="Private"/>
        <s v="Bus"/>
      </sharedItems>
    </cacheField>
    <cacheField name="Weekly_Study_Hours" numFmtId="0">
      <sharedItems containsSemiMixedTypes="0" containsString="0" containsNumber="1" containsInteger="1" minValue="0" maxValue="12"/>
    </cacheField>
    <cacheField name="Attendance" numFmtId="0">
      <sharedItems containsMixedTypes="1" containsNumber="1" containsInteger="1" minValue="3" maxValue="3" count="4">
        <s v="Always"/>
        <s v="Never"/>
        <s v="Sometimes"/>
        <n v="3"/>
      </sharedItems>
    </cacheField>
    <cacheField name="Reading" numFmtId="0">
      <sharedItems count="2">
        <s v="Yes"/>
        <s v="No"/>
      </sharedItems>
    </cacheField>
    <cacheField name="Notes" numFmtId="0">
      <sharedItems containsMixedTypes="1" containsNumber="1" containsInteger="1" minValue="6" maxValue="6" count="3">
        <s v="Yes"/>
        <s v="No"/>
        <n v="6"/>
      </sharedItems>
    </cacheField>
    <cacheField name="Listening_in_Class" numFmtId="0">
      <sharedItems containsMixedTypes="1" containsNumber="1" containsInteger="1" minValue="6" maxValue="6"/>
    </cacheField>
    <cacheField name="Project_work" numFmtId="0">
      <sharedItems/>
    </cacheField>
    <cacheField name="Grade" numFmtId="0">
      <sharedItems count="8">
        <s v="AA"/>
        <s v="BA"/>
        <s v="CC"/>
        <s v="Fail"/>
        <s v="BB"/>
        <s v="CB"/>
        <s v="DD"/>
        <s v="DC"/>
      </sharedItems>
    </cacheField>
  </cacheFields>
  <extLst>
    <ext xmlns:x14="http://schemas.microsoft.com/office/spreadsheetml/2009/9/main" uri="{725AE2AE-9491-48be-B2B4-4EB974FC3084}">
      <x14:pivotCacheDefinition pivotCacheId="12569696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5">
  <r>
    <x v="0"/>
    <x v="0"/>
    <x v="0"/>
    <x v="0"/>
    <x v="0"/>
    <s v="Yes"/>
    <s v="No"/>
    <x v="0"/>
    <n v="0"/>
    <x v="0"/>
    <x v="0"/>
    <x v="0"/>
    <s v="No"/>
    <s v="No"/>
    <x v="0"/>
  </r>
  <r>
    <x v="1"/>
    <x v="0"/>
    <x v="0"/>
    <x v="0"/>
    <x v="0"/>
    <s v="Yes"/>
    <s v="No"/>
    <x v="0"/>
    <n v="0"/>
    <x v="0"/>
    <x v="0"/>
    <x v="1"/>
    <s v="Yes"/>
    <s v="Yes"/>
    <x v="0"/>
  </r>
  <r>
    <x v="2"/>
    <x v="0"/>
    <x v="0"/>
    <x v="1"/>
    <x v="0"/>
    <s v="No"/>
    <s v="No"/>
    <x v="0"/>
    <n v="2"/>
    <x v="1"/>
    <x v="1"/>
    <x v="1"/>
    <s v="No"/>
    <s v="Yes"/>
    <x v="0"/>
  </r>
  <r>
    <x v="3"/>
    <x v="1"/>
    <x v="1"/>
    <x v="2"/>
    <x v="0"/>
    <s v="Yes"/>
    <s v="No"/>
    <x v="1"/>
    <n v="2"/>
    <x v="0"/>
    <x v="1"/>
    <x v="0"/>
    <s v="No"/>
    <s v="No"/>
    <x v="0"/>
  </r>
  <r>
    <x v="4"/>
    <x v="0"/>
    <x v="0"/>
    <x v="2"/>
    <x v="0"/>
    <s v="No"/>
    <s v="No"/>
    <x v="1"/>
    <n v="12"/>
    <x v="0"/>
    <x v="0"/>
    <x v="1"/>
    <s v="Yes"/>
    <s v="Yes"/>
    <x v="0"/>
  </r>
  <r>
    <x v="5"/>
    <x v="0"/>
    <x v="0"/>
    <x v="1"/>
    <x v="0"/>
    <s v="No"/>
    <s v="No"/>
    <x v="0"/>
    <n v="2"/>
    <x v="0"/>
    <x v="0"/>
    <x v="1"/>
    <s v="Yes"/>
    <s v="Yes"/>
    <x v="1"/>
  </r>
  <r>
    <x v="6"/>
    <x v="1"/>
    <x v="0"/>
    <x v="1"/>
    <x v="1"/>
    <s v="No"/>
    <s v="No"/>
    <x v="0"/>
    <n v="0"/>
    <x v="0"/>
    <x v="1"/>
    <x v="0"/>
    <s v="Yes"/>
    <s v="Yes"/>
    <x v="2"/>
  </r>
  <r>
    <x v="7"/>
    <x v="1"/>
    <x v="1"/>
    <x v="1"/>
    <x v="0"/>
    <s v="Yes"/>
    <s v="Yes"/>
    <x v="1"/>
    <n v="2"/>
    <x v="2"/>
    <x v="1"/>
    <x v="0"/>
    <s v="Yes"/>
    <s v="Yes"/>
    <x v="1"/>
  </r>
  <r>
    <x v="8"/>
    <x v="0"/>
    <x v="1"/>
    <x v="0"/>
    <x v="0"/>
    <s v="No"/>
    <s v="Yes"/>
    <x v="1"/>
    <n v="0"/>
    <x v="0"/>
    <x v="1"/>
    <x v="1"/>
    <s v="No"/>
    <s v="Yes"/>
    <x v="2"/>
  </r>
  <r>
    <x v="9"/>
    <x v="0"/>
    <x v="1"/>
    <x v="1"/>
    <x v="0"/>
    <s v="No"/>
    <s v="No"/>
    <x v="1"/>
    <n v="12"/>
    <x v="1"/>
    <x v="1"/>
    <x v="0"/>
    <s v="No"/>
    <s v="No"/>
    <x v="3"/>
  </r>
  <r>
    <x v="10"/>
    <x v="1"/>
    <x v="1"/>
    <x v="2"/>
    <x v="0"/>
    <s v="No"/>
    <s v="No"/>
    <x v="0"/>
    <n v="12"/>
    <x v="2"/>
    <x v="1"/>
    <x v="1"/>
    <s v="No"/>
    <s v="Yes"/>
    <x v="1"/>
  </r>
  <r>
    <x v="11"/>
    <x v="1"/>
    <x v="1"/>
    <x v="2"/>
    <x v="1"/>
    <s v="Yes"/>
    <s v="Yes"/>
    <x v="0"/>
    <n v="8"/>
    <x v="2"/>
    <x v="1"/>
    <x v="0"/>
    <s v="No"/>
    <s v="Yes"/>
    <x v="3"/>
  </r>
  <r>
    <x v="12"/>
    <x v="1"/>
    <x v="1"/>
    <x v="2"/>
    <x v="1"/>
    <s v="No"/>
    <s v="No"/>
    <x v="0"/>
    <n v="0"/>
    <x v="0"/>
    <x v="0"/>
    <x v="1"/>
    <s v="No"/>
    <s v="No"/>
    <x v="3"/>
  </r>
  <r>
    <x v="13"/>
    <x v="0"/>
    <x v="1"/>
    <x v="1"/>
    <x v="2"/>
    <s v="No"/>
    <s v="No"/>
    <x v="0"/>
    <n v="0"/>
    <x v="0"/>
    <x v="0"/>
    <x v="1"/>
    <s v="No"/>
    <s v="Yes"/>
    <x v="0"/>
  </r>
  <r>
    <x v="14"/>
    <x v="2"/>
    <x v="0"/>
    <x v="1"/>
    <x v="1"/>
    <s v="Yes"/>
    <s v="Yes"/>
    <x v="0"/>
    <n v="12"/>
    <x v="1"/>
    <x v="1"/>
    <x v="1"/>
    <s v="Yes"/>
    <s v="Yes"/>
    <x v="1"/>
  </r>
  <r>
    <x v="15"/>
    <x v="0"/>
    <x v="0"/>
    <x v="1"/>
    <x v="0"/>
    <s v="No"/>
    <s v="No"/>
    <x v="0"/>
    <n v="0"/>
    <x v="0"/>
    <x v="1"/>
    <x v="0"/>
    <s v="No"/>
    <s v="Yes"/>
    <x v="1"/>
  </r>
  <r>
    <x v="16"/>
    <x v="1"/>
    <x v="1"/>
    <x v="1"/>
    <x v="2"/>
    <s v="No"/>
    <s v="Yes"/>
    <x v="0"/>
    <n v="0"/>
    <x v="0"/>
    <x v="0"/>
    <x v="1"/>
    <s v="No"/>
    <s v="No"/>
    <x v="0"/>
  </r>
  <r>
    <x v="17"/>
    <x v="0"/>
    <x v="0"/>
    <x v="1"/>
    <x v="0"/>
    <s v="No"/>
    <s v="No"/>
    <x v="0"/>
    <n v="0"/>
    <x v="0"/>
    <x v="0"/>
    <x v="1"/>
    <s v="No"/>
    <s v="Yes"/>
    <x v="1"/>
  </r>
  <r>
    <x v="18"/>
    <x v="1"/>
    <x v="1"/>
    <x v="1"/>
    <x v="1"/>
    <s v="No"/>
    <s v="No"/>
    <x v="0"/>
    <n v="12"/>
    <x v="0"/>
    <x v="0"/>
    <x v="1"/>
    <s v="No"/>
    <s v="No"/>
    <x v="1"/>
  </r>
  <r>
    <x v="19"/>
    <x v="1"/>
    <x v="0"/>
    <x v="2"/>
    <x v="0"/>
    <s v="No"/>
    <s v="No"/>
    <x v="1"/>
    <n v="2"/>
    <x v="2"/>
    <x v="1"/>
    <x v="1"/>
    <s v="Yes"/>
    <s v="No"/>
    <x v="4"/>
  </r>
  <r>
    <x v="20"/>
    <x v="1"/>
    <x v="0"/>
    <x v="1"/>
    <x v="2"/>
    <s v="Yes"/>
    <s v="No"/>
    <x v="1"/>
    <n v="0"/>
    <x v="1"/>
    <x v="1"/>
    <x v="1"/>
    <s v="Yes"/>
    <s v="No"/>
    <x v="0"/>
  </r>
  <r>
    <x v="21"/>
    <x v="1"/>
    <x v="0"/>
    <x v="1"/>
    <x v="2"/>
    <s v="No"/>
    <s v="No"/>
    <x v="1"/>
    <n v="0"/>
    <x v="1"/>
    <x v="1"/>
    <x v="1"/>
    <s v="No"/>
    <s v="No"/>
    <x v="0"/>
  </r>
  <r>
    <x v="22"/>
    <x v="0"/>
    <x v="0"/>
    <x v="1"/>
    <x v="0"/>
    <s v="Yes"/>
    <s v="No"/>
    <x v="1"/>
    <n v="0"/>
    <x v="0"/>
    <x v="0"/>
    <x v="0"/>
    <s v="Yes"/>
    <s v="No"/>
    <x v="4"/>
  </r>
  <r>
    <x v="23"/>
    <x v="2"/>
    <x v="0"/>
    <x v="1"/>
    <x v="3"/>
    <s v="Yes"/>
    <s v="Yes"/>
    <x v="0"/>
    <n v="12"/>
    <x v="0"/>
    <x v="0"/>
    <x v="0"/>
    <s v="No"/>
    <s v="No"/>
    <x v="0"/>
  </r>
  <r>
    <x v="24"/>
    <x v="0"/>
    <x v="0"/>
    <x v="1"/>
    <x v="0"/>
    <s v="No"/>
    <s v="No"/>
    <x v="0"/>
    <n v="2"/>
    <x v="0"/>
    <x v="0"/>
    <x v="1"/>
    <s v="Yes"/>
    <s v="No"/>
    <x v="1"/>
  </r>
  <r>
    <x v="25"/>
    <x v="0"/>
    <x v="0"/>
    <x v="1"/>
    <x v="0"/>
    <s v="No"/>
    <s v="No"/>
    <x v="1"/>
    <n v="0"/>
    <x v="0"/>
    <x v="1"/>
    <x v="0"/>
    <s v="No"/>
    <s v="No"/>
    <x v="4"/>
  </r>
  <r>
    <x v="26"/>
    <x v="0"/>
    <x v="0"/>
    <x v="1"/>
    <x v="0"/>
    <s v="No"/>
    <s v="Yes"/>
    <x v="1"/>
    <n v="0"/>
    <x v="0"/>
    <x v="0"/>
    <x v="0"/>
    <s v="No"/>
    <s v="No"/>
    <x v="0"/>
  </r>
  <r>
    <x v="27"/>
    <x v="1"/>
    <x v="0"/>
    <x v="2"/>
    <x v="0"/>
    <s v="Yes"/>
    <s v="No"/>
    <x v="0"/>
    <n v="0"/>
    <x v="0"/>
    <x v="0"/>
    <x v="0"/>
    <s v="Yes"/>
    <s v="No"/>
    <x v="0"/>
  </r>
  <r>
    <x v="28"/>
    <x v="2"/>
    <x v="0"/>
    <x v="1"/>
    <x v="0"/>
    <s v="No"/>
    <s v="No"/>
    <x v="1"/>
    <n v="0"/>
    <x v="1"/>
    <x v="1"/>
    <x v="1"/>
    <s v="No"/>
    <s v="No"/>
    <x v="4"/>
  </r>
  <r>
    <x v="29"/>
    <x v="0"/>
    <x v="0"/>
    <x v="0"/>
    <x v="1"/>
    <s v="No"/>
    <s v="No"/>
    <x v="0"/>
    <n v="0"/>
    <x v="1"/>
    <x v="1"/>
    <x v="1"/>
    <s v="Yes"/>
    <s v="Yes"/>
    <x v="2"/>
  </r>
  <r>
    <x v="30"/>
    <x v="0"/>
    <x v="0"/>
    <x v="1"/>
    <x v="2"/>
    <s v="Yes"/>
    <s v="Yes"/>
    <x v="1"/>
    <n v="0"/>
    <x v="0"/>
    <x v="1"/>
    <x v="0"/>
    <s v="Yes"/>
    <s v="No"/>
    <x v="2"/>
  </r>
  <r>
    <x v="31"/>
    <x v="2"/>
    <x v="0"/>
    <x v="1"/>
    <x v="0"/>
    <s v="Yes"/>
    <s v="No"/>
    <x v="0"/>
    <n v="0"/>
    <x v="0"/>
    <x v="1"/>
    <x v="0"/>
    <s v="No"/>
    <s v="No"/>
    <x v="4"/>
  </r>
  <r>
    <x v="32"/>
    <x v="0"/>
    <x v="1"/>
    <x v="1"/>
    <x v="0"/>
    <s v="No"/>
    <s v="No"/>
    <x v="0"/>
    <n v="2"/>
    <x v="0"/>
    <x v="0"/>
    <x v="1"/>
    <s v="No"/>
    <s v="Yes"/>
    <x v="0"/>
  </r>
  <r>
    <x v="33"/>
    <x v="0"/>
    <x v="1"/>
    <x v="1"/>
    <x v="0"/>
    <s v="Yes"/>
    <s v="No"/>
    <x v="1"/>
    <n v="0"/>
    <x v="0"/>
    <x v="0"/>
    <x v="0"/>
    <s v="No"/>
    <s v="No"/>
    <x v="1"/>
  </r>
  <r>
    <x v="34"/>
    <x v="1"/>
    <x v="0"/>
    <x v="2"/>
    <x v="0"/>
    <s v="No"/>
    <s v="No"/>
    <x v="1"/>
    <n v="2"/>
    <x v="0"/>
    <x v="0"/>
    <x v="1"/>
    <s v="Yes"/>
    <s v="No"/>
    <x v="1"/>
  </r>
  <r>
    <x v="35"/>
    <x v="1"/>
    <x v="0"/>
    <x v="2"/>
    <x v="1"/>
    <s v="No"/>
    <s v="No"/>
    <x v="0"/>
    <n v="12"/>
    <x v="0"/>
    <x v="0"/>
    <x v="0"/>
    <s v="No"/>
    <s v="No"/>
    <x v="0"/>
  </r>
  <r>
    <x v="36"/>
    <x v="0"/>
    <x v="0"/>
    <x v="0"/>
    <x v="1"/>
    <s v="Yes"/>
    <s v="No"/>
    <x v="1"/>
    <n v="12"/>
    <x v="0"/>
    <x v="0"/>
    <x v="0"/>
    <s v="Yes"/>
    <s v="Yes"/>
    <x v="1"/>
  </r>
  <r>
    <x v="37"/>
    <x v="0"/>
    <x v="0"/>
    <x v="1"/>
    <x v="0"/>
    <s v="Yes"/>
    <s v="Yes"/>
    <x v="1"/>
    <n v="2"/>
    <x v="2"/>
    <x v="1"/>
    <x v="1"/>
    <s v="Yes"/>
    <s v="Yes"/>
    <x v="0"/>
  </r>
  <r>
    <x v="38"/>
    <x v="0"/>
    <x v="0"/>
    <x v="1"/>
    <x v="2"/>
    <s v="No"/>
    <s v="No"/>
    <x v="0"/>
    <n v="0"/>
    <x v="0"/>
    <x v="0"/>
    <x v="1"/>
    <s v="Yes"/>
    <s v="Yes"/>
    <x v="1"/>
  </r>
  <r>
    <x v="39"/>
    <x v="0"/>
    <x v="1"/>
    <x v="1"/>
    <x v="0"/>
    <s v="No"/>
    <s v="No"/>
    <x v="1"/>
    <n v="0"/>
    <x v="0"/>
    <x v="1"/>
    <x v="0"/>
    <s v="Yes"/>
    <s v="Yes"/>
    <x v="0"/>
  </r>
  <r>
    <x v="40"/>
    <x v="1"/>
    <x v="0"/>
    <x v="2"/>
    <x v="0"/>
    <s v="No"/>
    <s v="No"/>
    <x v="0"/>
    <n v="2"/>
    <x v="0"/>
    <x v="0"/>
    <x v="1"/>
    <s v="Yes"/>
    <s v="Yes"/>
    <x v="0"/>
  </r>
  <r>
    <x v="41"/>
    <x v="2"/>
    <x v="0"/>
    <x v="1"/>
    <x v="0"/>
    <s v="Yes"/>
    <s v="No"/>
    <x v="0"/>
    <n v="2"/>
    <x v="0"/>
    <x v="1"/>
    <x v="0"/>
    <s v="No"/>
    <s v="Yes"/>
    <x v="0"/>
  </r>
  <r>
    <x v="42"/>
    <x v="0"/>
    <x v="0"/>
    <x v="1"/>
    <x v="0"/>
    <s v="No"/>
    <s v="Yes"/>
    <x v="0"/>
    <n v="0"/>
    <x v="1"/>
    <x v="1"/>
    <x v="0"/>
    <s v="No"/>
    <s v="Yes"/>
    <x v="0"/>
  </r>
  <r>
    <x v="43"/>
    <x v="1"/>
    <x v="0"/>
    <x v="1"/>
    <x v="0"/>
    <s v="No"/>
    <s v="No"/>
    <x v="1"/>
    <n v="0"/>
    <x v="0"/>
    <x v="0"/>
    <x v="1"/>
    <s v="Yes"/>
    <s v="No"/>
    <x v="5"/>
  </r>
  <r>
    <x v="44"/>
    <x v="0"/>
    <x v="0"/>
    <x v="0"/>
    <x v="0"/>
    <s v="No"/>
    <s v="No"/>
    <x v="1"/>
    <n v="0"/>
    <x v="0"/>
    <x v="0"/>
    <x v="0"/>
    <s v="Yes"/>
    <s v="Yes"/>
    <x v="0"/>
  </r>
  <r>
    <x v="45"/>
    <x v="1"/>
    <x v="0"/>
    <x v="1"/>
    <x v="0"/>
    <s v="No"/>
    <s v="No"/>
    <x v="1"/>
    <n v="8"/>
    <x v="0"/>
    <x v="0"/>
    <x v="1"/>
    <s v="Yes"/>
    <s v="No"/>
    <x v="4"/>
  </r>
  <r>
    <x v="46"/>
    <x v="0"/>
    <x v="0"/>
    <x v="1"/>
    <x v="0"/>
    <s v="No"/>
    <s v="No"/>
    <x v="1"/>
    <n v="0"/>
    <x v="0"/>
    <x v="0"/>
    <x v="0"/>
    <s v="No"/>
    <s v="No"/>
    <x v="2"/>
  </r>
  <r>
    <x v="47"/>
    <x v="0"/>
    <x v="0"/>
    <x v="1"/>
    <x v="0"/>
    <s v="No"/>
    <s v="No"/>
    <x v="1"/>
    <n v="0"/>
    <x v="0"/>
    <x v="1"/>
    <x v="0"/>
    <s v="Yes"/>
    <s v="Yes"/>
    <x v="4"/>
  </r>
  <r>
    <x v="48"/>
    <x v="1"/>
    <x v="0"/>
    <x v="1"/>
    <x v="0"/>
    <s v="No"/>
    <s v="Yes"/>
    <x v="1"/>
    <n v="0"/>
    <x v="0"/>
    <x v="1"/>
    <x v="1"/>
    <s v="Yes"/>
    <s v="No"/>
    <x v="0"/>
  </r>
  <r>
    <x v="49"/>
    <x v="1"/>
    <x v="0"/>
    <x v="2"/>
    <x v="1"/>
    <s v="No"/>
    <s v="No"/>
    <x v="0"/>
    <n v="2"/>
    <x v="1"/>
    <x v="0"/>
    <x v="1"/>
    <s v="Yes"/>
    <s v="Yes"/>
    <x v="1"/>
  </r>
  <r>
    <x v="50"/>
    <x v="0"/>
    <x v="0"/>
    <x v="1"/>
    <x v="0"/>
    <s v="No"/>
    <s v="No"/>
    <x v="1"/>
    <n v="2"/>
    <x v="2"/>
    <x v="0"/>
    <x v="0"/>
    <s v="Yes"/>
    <s v="Yes"/>
    <x v="0"/>
  </r>
  <r>
    <x v="51"/>
    <x v="0"/>
    <x v="1"/>
    <x v="0"/>
    <x v="0"/>
    <s v="Yes"/>
    <s v="Yes"/>
    <x v="0"/>
    <n v="0"/>
    <x v="0"/>
    <x v="0"/>
    <x v="0"/>
    <s v="No"/>
    <s v="No"/>
    <x v="5"/>
  </r>
  <r>
    <x v="52"/>
    <x v="0"/>
    <x v="1"/>
    <x v="1"/>
    <x v="0"/>
    <s v="Yes"/>
    <s v="No"/>
    <x v="0"/>
    <n v="2"/>
    <x v="0"/>
    <x v="0"/>
    <x v="0"/>
    <s v="Yes"/>
    <s v="No"/>
    <x v="0"/>
  </r>
  <r>
    <x v="53"/>
    <x v="0"/>
    <x v="1"/>
    <x v="1"/>
    <x v="0"/>
    <s v="No"/>
    <s v="Yes"/>
    <x v="0"/>
    <n v="2"/>
    <x v="0"/>
    <x v="0"/>
    <x v="0"/>
    <s v="Yes"/>
    <s v="No"/>
    <x v="2"/>
  </r>
  <r>
    <x v="54"/>
    <x v="0"/>
    <x v="0"/>
    <x v="1"/>
    <x v="0"/>
    <s v="No"/>
    <s v="No"/>
    <x v="0"/>
    <n v="12"/>
    <x v="1"/>
    <x v="1"/>
    <x v="0"/>
    <s v="No"/>
    <s v="Yes"/>
    <x v="4"/>
  </r>
  <r>
    <x v="55"/>
    <x v="2"/>
    <x v="0"/>
    <x v="1"/>
    <x v="0"/>
    <s v="Yes"/>
    <s v="No"/>
    <x v="1"/>
    <n v="8"/>
    <x v="0"/>
    <x v="1"/>
    <x v="0"/>
    <s v="Yes"/>
    <s v="No"/>
    <x v="4"/>
  </r>
  <r>
    <x v="56"/>
    <x v="0"/>
    <x v="0"/>
    <x v="1"/>
    <x v="0"/>
    <s v="No"/>
    <s v="Yes"/>
    <x v="0"/>
    <n v="0"/>
    <x v="0"/>
    <x v="0"/>
    <x v="0"/>
    <s v="Yes"/>
    <s v="No"/>
    <x v="2"/>
  </r>
  <r>
    <x v="57"/>
    <x v="0"/>
    <x v="0"/>
    <x v="1"/>
    <x v="0"/>
    <s v="Yes"/>
    <s v="Yes"/>
    <x v="0"/>
    <n v="0"/>
    <x v="0"/>
    <x v="0"/>
    <x v="0"/>
    <s v="No"/>
    <s v="No"/>
    <x v="5"/>
  </r>
  <r>
    <x v="58"/>
    <x v="2"/>
    <x v="0"/>
    <x v="1"/>
    <x v="0"/>
    <s v="No"/>
    <s v="No"/>
    <x v="1"/>
    <n v="12"/>
    <x v="0"/>
    <x v="0"/>
    <x v="0"/>
    <s v="Yes"/>
    <s v="No"/>
    <x v="4"/>
  </r>
  <r>
    <x v="59"/>
    <x v="0"/>
    <x v="0"/>
    <x v="1"/>
    <x v="0"/>
    <s v="No"/>
    <s v="Yes"/>
    <x v="1"/>
    <n v="0"/>
    <x v="0"/>
    <x v="0"/>
    <x v="0"/>
    <s v="No"/>
    <s v="No"/>
    <x v="2"/>
  </r>
  <r>
    <x v="60"/>
    <x v="0"/>
    <x v="1"/>
    <x v="1"/>
    <x v="0"/>
    <s v="No"/>
    <s v="No"/>
    <x v="0"/>
    <n v="12"/>
    <x v="2"/>
    <x v="0"/>
    <x v="2"/>
    <s v="Yes"/>
    <s v="No"/>
    <x v="1"/>
  </r>
  <r>
    <x v="61"/>
    <x v="1"/>
    <x v="0"/>
    <x v="0"/>
    <x v="0"/>
    <s v="No"/>
    <s v="Yes"/>
    <x v="0"/>
    <n v="2"/>
    <x v="0"/>
    <x v="1"/>
    <x v="0"/>
    <s v="Yes"/>
    <s v="No"/>
    <x v="2"/>
  </r>
  <r>
    <x v="62"/>
    <x v="0"/>
    <x v="0"/>
    <x v="1"/>
    <x v="0"/>
    <s v="No"/>
    <s v="No"/>
    <x v="0"/>
    <n v="0"/>
    <x v="1"/>
    <x v="1"/>
    <x v="1"/>
    <s v="Yes"/>
    <s v="Yes"/>
    <x v="4"/>
  </r>
  <r>
    <x v="63"/>
    <x v="0"/>
    <x v="0"/>
    <x v="1"/>
    <x v="1"/>
    <s v="No"/>
    <s v="No"/>
    <x v="1"/>
    <n v="2"/>
    <x v="0"/>
    <x v="0"/>
    <x v="0"/>
    <s v="Yes"/>
    <s v="No"/>
    <x v="2"/>
  </r>
  <r>
    <x v="64"/>
    <x v="0"/>
    <x v="0"/>
    <x v="0"/>
    <x v="2"/>
    <s v="No"/>
    <s v="No"/>
    <x v="0"/>
    <n v="0"/>
    <x v="0"/>
    <x v="0"/>
    <x v="1"/>
    <s v="No"/>
    <s v="Yes"/>
    <x v="4"/>
  </r>
  <r>
    <x v="65"/>
    <x v="1"/>
    <x v="0"/>
    <x v="1"/>
    <x v="0"/>
    <s v="No"/>
    <s v="No"/>
    <x v="1"/>
    <n v="12"/>
    <x v="0"/>
    <x v="0"/>
    <x v="1"/>
    <s v="No"/>
    <s v="No"/>
    <x v="1"/>
  </r>
  <r>
    <x v="66"/>
    <x v="0"/>
    <x v="0"/>
    <x v="1"/>
    <x v="0"/>
    <s v="No"/>
    <s v="No"/>
    <x v="1"/>
    <n v="0"/>
    <x v="0"/>
    <x v="0"/>
    <x v="1"/>
    <s v="No"/>
    <s v="No"/>
    <x v="2"/>
  </r>
  <r>
    <x v="67"/>
    <x v="0"/>
    <x v="0"/>
    <x v="0"/>
    <x v="0"/>
    <s v="Yes"/>
    <s v="Yes"/>
    <x v="0"/>
    <n v="12"/>
    <x v="0"/>
    <x v="1"/>
    <x v="1"/>
    <s v="No"/>
    <s v="No"/>
    <x v="0"/>
  </r>
  <r>
    <x v="68"/>
    <x v="0"/>
    <x v="1"/>
    <x v="1"/>
    <x v="1"/>
    <s v="Yes"/>
    <s v="No"/>
    <x v="0"/>
    <n v="0"/>
    <x v="0"/>
    <x v="0"/>
    <x v="1"/>
    <s v="Yes"/>
    <s v="No"/>
    <x v="2"/>
  </r>
  <r>
    <x v="69"/>
    <x v="0"/>
    <x v="1"/>
    <x v="1"/>
    <x v="1"/>
    <s v="No"/>
    <s v="No"/>
    <x v="1"/>
    <n v="0"/>
    <x v="0"/>
    <x v="0"/>
    <x v="1"/>
    <s v="No"/>
    <s v="Yes"/>
    <x v="2"/>
  </r>
  <r>
    <x v="70"/>
    <x v="1"/>
    <x v="0"/>
    <x v="1"/>
    <x v="1"/>
    <s v="No"/>
    <s v="Yes"/>
    <x v="1"/>
    <n v="0"/>
    <x v="0"/>
    <x v="0"/>
    <x v="0"/>
    <s v="Yes"/>
    <s v="Yes"/>
    <x v="6"/>
  </r>
  <r>
    <x v="71"/>
    <x v="1"/>
    <x v="1"/>
    <x v="0"/>
    <x v="1"/>
    <s v="No"/>
    <s v="No"/>
    <x v="0"/>
    <n v="0"/>
    <x v="0"/>
    <x v="1"/>
    <x v="0"/>
    <s v="Yes"/>
    <s v="No"/>
    <x v="7"/>
  </r>
  <r>
    <x v="72"/>
    <x v="1"/>
    <x v="0"/>
    <x v="1"/>
    <x v="0"/>
    <s v="No"/>
    <s v="Yes"/>
    <x v="1"/>
    <n v="0"/>
    <x v="0"/>
    <x v="1"/>
    <x v="0"/>
    <s v="Yes"/>
    <s v="Yes"/>
    <x v="7"/>
  </r>
  <r>
    <x v="73"/>
    <x v="0"/>
    <x v="0"/>
    <x v="1"/>
    <x v="1"/>
    <s v="No"/>
    <s v="No"/>
    <x v="0"/>
    <n v="0"/>
    <x v="0"/>
    <x v="1"/>
    <x v="0"/>
    <s v="Yes"/>
    <s v="No"/>
    <x v="7"/>
  </r>
  <r>
    <x v="74"/>
    <x v="1"/>
    <x v="0"/>
    <x v="1"/>
    <x v="1"/>
    <s v="No"/>
    <s v="No"/>
    <x v="0"/>
    <n v="0"/>
    <x v="0"/>
    <x v="0"/>
    <x v="1"/>
    <s v="No"/>
    <s v="No"/>
    <x v="6"/>
  </r>
  <r>
    <x v="75"/>
    <x v="1"/>
    <x v="0"/>
    <x v="1"/>
    <x v="1"/>
    <s v="No"/>
    <s v="Yes"/>
    <x v="0"/>
    <n v="0"/>
    <x v="0"/>
    <x v="1"/>
    <x v="0"/>
    <s v="No"/>
    <s v="No"/>
    <x v="6"/>
  </r>
  <r>
    <x v="76"/>
    <x v="0"/>
    <x v="0"/>
    <x v="2"/>
    <x v="3"/>
    <s v="No"/>
    <s v="Yes"/>
    <x v="0"/>
    <n v="2"/>
    <x v="0"/>
    <x v="0"/>
    <x v="0"/>
    <s v="No"/>
    <s v="No"/>
    <x v="5"/>
  </r>
  <r>
    <x v="77"/>
    <x v="1"/>
    <x v="0"/>
    <x v="2"/>
    <x v="3"/>
    <s v="No"/>
    <s v="No"/>
    <x v="1"/>
    <n v="2"/>
    <x v="2"/>
    <x v="1"/>
    <x v="2"/>
    <s v="No"/>
    <s v="Yes"/>
    <x v="6"/>
  </r>
  <r>
    <x v="78"/>
    <x v="0"/>
    <x v="1"/>
    <x v="1"/>
    <x v="1"/>
    <s v="Yes"/>
    <s v="Yes"/>
    <x v="0"/>
    <n v="0"/>
    <x v="0"/>
    <x v="0"/>
    <x v="0"/>
    <s v="Yes"/>
    <s v="No"/>
    <x v="5"/>
  </r>
  <r>
    <x v="79"/>
    <x v="0"/>
    <x v="0"/>
    <x v="1"/>
    <x v="1"/>
    <s v="No"/>
    <s v="No"/>
    <x v="0"/>
    <n v="0"/>
    <x v="0"/>
    <x v="0"/>
    <x v="0"/>
    <s v="Yes"/>
    <s v="No"/>
    <x v="4"/>
  </r>
  <r>
    <x v="80"/>
    <x v="0"/>
    <x v="1"/>
    <x v="1"/>
    <x v="0"/>
    <s v="Yes"/>
    <s v="No"/>
    <x v="1"/>
    <n v="0"/>
    <x v="2"/>
    <x v="0"/>
    <x v="0"/>
    <s v="Yes"/>
    <s v="Yes"/>
    <x v="5"/>
  </r>
  <r>
    <x v="81"/>
    <x v="2"/>
    <x v="0"/>
    <x v="1"/>
    <x v="0"/>
    <s v="Yes"/>
    <s v="No"/>
    <x v="0"/>
    <n v="0"/>
    <x v="0"/>
    <x v="1"/>
    <x v="0"/>
    <s v="No"/>
    <s v="No"/>
    <x v="4"/>
  </r>
  <r>
    <x v="82"/>
    <x v="0"/>
    <x v="0"/>
    <x v="1"/>
    <x v="1"/>
    <s v="Yes"/>
    <s v="No"/>
    <x v="1"/>
    <n v="2"/>
    <x v="0"/>
    <x v="0"/>
    <x v="1"/>
    <s v="Yes"/>
    <s v="No"/>
    <x v="6"/>
  </r>
  <r>
    <x v="83"/>
    <x v="0"/>
    <x v="0"/>
    <x v="0"/>
    <x v="0"/>
    <s v="No"/>
    <s v="No"/>
    <x v="0"/>
    <n v="12"/>
    <x v="0"/>
    <x v="0"/>
    <x v="0"/>
    <s v="No"/>
    <s v="Yes"/>
    <x v="6"/>
  </r>
  <r>
    <x v="84"/>
    <x v="2"/>
    <x v="0"/>
    <x v="0"/>
    <x v="0"/>
    <s v="Yes"/>
    <s v="No"/>
    <x v="1"/>
    <n v="12"/>
    <x v="0"/>
    <x v="1"/>
    <x v="0"/>
    <s v="No"/>
    <s v="No"/>
    <x v="6"/>
  </r>
  <r>
    <x v="85"/>
    <x v="1"/>
    <x v="0"/>
    <x v="1"/>
    <x v="2"/>
    <s v="No"/>
    <s v="No"/>
    <x v="0"/>
    <n v="2"/>
    <x v="0"/>
    <x v="0"/>
    <x v="0"/>
    <s v="Yes"/>
    <s v="No"/>
    <x v="5"/>
  </r>
  <r>
    <x v="86"/>
    <x v="0"/>
    <x v="0"/>
    <x v="1"/>
    <x v="1"/>
    <s v="No"/>
    <s v="No"/>
    <x v="0"/>
    <n v="0"/>
    <x v="1"/>
    <x v="1"/>
    <x v="1"/>
    <s v="Yes"/>
    <s v="Yes"/>
    <x v="2"/>
  </r>
  <r>
    <x v="87"/>
    <x v="0"/>
    <x v="0"/>
    <x v="1"/>
    <x v="0"/>
    <s v="No"/>
    <s v="Yes"/>
    <x v="0"/>
    <n v="2"/>
    <x v="0"/>
    <x v="0"/>
    <x v="1"/>
    <s v="No"/>
    <s v="Yes"/>
    <x v="7"/>
  </r>
  <r>
    <x v="88"/>
    <x v="1"/>
    <x v="0"/>
    <x v="1"/>
    <x v="1"/>
    <s v="No"/>
    <s v="Yes"/>
    <x v="1"/>
    <n v="0"/>
    <x v="0"/>
    <x v="0"/>
    <x v="0"/>
    <s v="No"/>
    <s v="Yes"/>
    <x v="7"/>
  </r>
  <r>
    <x v="89"/>
    <x v="0"/>
    <x v="0"/>
    <x v="1"/>
    <x v="0"/>
    <s v="No"/>
    <s v="No"/>
    <x v="0"/>
    <n v="0"/>
    <x v="0"/>
    <x v="0"/>
    <x v="1"/>
    <s v="No"/>
    <s v="No"/>
    <x v="7"/>
  </r>
  <r>
    <x v="90"/>
    <x v="0"/>
    <x v="1"/>
    <x v="1"/>
    <x v="0"/>
    <s v="No"/>
    <s v="Yes"/>
    <x v="1"/>
    <n v="0"/>
    <x v="2"/>
    <x v="1"/>
    <x v="1"/>
    <s v="Yes"/>
    <s v="Yes"/>
    <x v="7"/>
  </r>
  <r>
    <x v="91"/>
    <x v="0"/>
    <x v="0"/>
    <x v="1"/>
    <x v="2"/>
    <s v="Yes"/>
    <s v="Yes"/>
    <x v="1"/>
    <n v="0"/>
    <x v="0"/>
    <x v="1"/>
    <x v="0"/>
    <s v="Yes"/>
    <s v="No"/>
    <x v="7"/>
  </r>
  <r>
    <x v="92"/>
    <x v="1"/>
    <x v="0"/>
    <x v="1"/>
    <x v="0"/>
    <s v="No"/>
    <s v="No"/>
    <x v="0"/>
    <n v="0"/>
    <x v="0"/>
    <x v="0"/>
    <x v="1"/>
    <s v="No"/>
    <s v="No"/>
    <x v="6"/>
  </r>
  <r>
    <x v="93"/>
    <x v="1"/>
    <x v="0"/>
    <x v="1"/>
    <x v="4"/>
    <s v="Yes"/>
    <s v="No"/>
    <x v="1"/>
    <n v="0"/>
    <x v="0"/>
    <x v="1"/>
    <x v="0"/>
    <s v="No"/>
    <s v="No"/>
    <x v="5"/>
  </r>
  <r>
    <x v="94"/>
    <x v="0"/>
    <x v="0"/>
    <x v="1"/>
    <x v="0"/>
    <s v="No"/>
    <s v="No"/>
    <x v="1"/>
    <n v="0"/>
    <x v="0"/>
    <x v="0"/>
    <x v="1"/>
    <s v="No"/>
    <s v="No"/>
    <x v="7"/>
  </r>
  <r>
    <x v="95"/>
    <x v="1"/>
    <x v="0"/>
    <x v="0"/>
    <x v="2"/>
    <s v="Yes"/>
    <s v="Yes"/>
    <x v="1"/>
    <n v="0"/>
    <x v="2"/>
    <x v="1"/>
    <x v="1"/>
    <s v="No"/>
    <s v="Yes"/>
    <x v="2"/>
  </r>
  <r>
    <x v="96"/>
    <x v="1"/>
    <x v="0"/>
    <x v="1"/>
    <x v="1"/>
    <s v="No"/>
    <s v="Yes"/>
    <x v="1"/>
    <n v="0"/>
    <x v="2"/>
    <x v="1"/>
    <x v="1"/>
    <s v="No"/>
    <s v="No"/>
    <x v="6"/>
  </r>
  <r>
    <x v="97"/>
    <x v="1"/>
    <x v="0"/>
    <x v="1"/>
    <x v="1"/>
    <s v="Yes"/>
    <s v="No"/>
    <x v="0"/>
    <n v="0"/>
    <x v="0"/>
    <x v="1"/>
    <x v="1"/>
    <s v="Yes"/>
    <s v="No"/>
    <x v="7"/>
  </r>
  <r>
    <x v="98"/>
    <x v="1"/>
    <x v="0"/>
    <x v="1"/>
    <x v="1"/>
    <s v="No"/>
    <s v="Yes"/>
    <x v="0"/>
    <n v="0"/>
    <x v="1"/>
    <x v="1"/>
    <x v="1"/>
    <s v="No"/>
    <s v="Yes"/>
    <x v="6"/>
  </r>
  <r>
    <x v="99"/>
    <x v="0"/>
    <x v="0"/>
    <x v="1"/>
    <x v="0"/>
    <s v="No"/>
    <s v="No"/>
    <x v="0"/>
    <n v="0"/>
    <x v="1"/>
    <x v="1"/>
    <x v="1"/>
    <s v="No"/>
    <s v="Yes"/>
    <x v="6"/>
  </r>
  <r>
    <x v="100"/>
    <x v="1"/>
    <x v="0"/>
    <x v="1"/>
    <x v="1"/>
    <s v="No"/>
    <s v="No"/>
    <x v="0"/>
    <n v="0"/>
    <x v="2"/>
    <x v="1"/>
    <x v="0"/>
    <s v="Yes"/>
    <s v="Yes"/>
    <x v="7"/>
  </r>
  <r>
    <x v="101"/>
    <x v="1"/>
    <x v="0"/>
    <x v="1"/>
    <x v="1"/>
    <s v="No"/>
    <s v="No"/>
    <x v="1"/>
    <n v="2"/>
    <x v="0"/>
    <x v="1"/>
    <x v="1"/>
    <s v="Yes"/>
    <s v="Yes"/>
    <x v="6"/>
  </r>
  <r>
    <x v="102"/>
    <x v="1"/>
    <x v="0"/>
    <x v="1"/>
    <x v="0"/>
    <s v="No"/>
    <s v="No"/>
    <x v="1"/>
    <n v="0"/>
    <x v="0"/>
    <x v="1"/>
    <x v="1"/>
    <s v="Yes"/>
    <s v="Yes"/>
    <x v="6"/>
  </r>
  <r>
    <x v="103"/>
    <x v="1"/>
    <x v="0"/>
    <x v="2"/>
    <x v="1"/>
    <s v="No"/>
    <s v="No"/>
    <x v="1"/>
    <n v="12"/>
    <x v="0"/>
    <x v="1"/>
    <x v="0"/>
    <s v="Yes"/>
    <s v="No"/>
    <x v="6"/>
  </r>
  <r>
    <x v="104"/>
    <x v="1"/>
    <x v="1"/>
    <x v="1"/>
    <x v="0"/>
    <s v="No"/>
    <s v="No"/>
    <x v="0"/>
    <n v="0"/>
    <x v="2"/>
    <x v="1"/>
    <x v="0"/>
    <s v="No"/>
    <s v="Yes"/>
    <x v="4"/>
  </r>
  <r>
    <x v="105"/>
    <x v="1"/>
    <x v="0"/>
    <x v="1"/>
    <x v="1"/>
    <s v="Yes"/>
    <s v="Yes"/>
    <x v="0"/>
    <n v="0"/>
    <x v="0"/>
    <x v="0"/>
    <x v="1"/>
    <s v="No"/>
    <s v="No"/>
    <x v="6"/>
  </r>
  <r>
    <x v="106"/>
    <x v="1"/>
    <x v="0"/>
    <x v="1"/>
    <x v="1"/>
    <s v="No"/>
    <s v="Yes"/>
    <x v="0"/>
    <n v="0"/>
    <x v="0"/>
    <x v="1"/>
    <x v="1"/>
    <s v="No"/>
    <s v="Yes"/>
    <x v="6"/>
  </r>
  <r>
    <x v="107"/>
    <x v="1"/>
    <x v="1"/>
    <x v="1"/>
    <x v="1"/>
    <s v="Yes"/>
    <s v="Yes"/>
    <x v="0"/>
    <n v="0"/>
    <x v="0"/>
    <x v="1"/>
    <x v="0"/>
    <s v="Yes"/>
    <s v="No"/>
    <x v="7"/>
  </r>
  <r>
    <x v="108"/>
    <x v="0"/>
    <x v="1"/>
    <x v="2"/>
    <x v="2"/>
    <s v="No"/>
    <s v="Yes"/>
    <x v="0"/>
    <n v="2"/>
    <x v="2"/>
    <x v="0"/>
    <x v="0"/>
    <s v="No"/>
    <s v="Yes"/>
    <x v="7"/>
  </r>
  <r>
    <x v="109"/>
    <x v="1"/>
    <x v="0"/>
    <x v="2"/>
    <x v="0"/>
    <s v="No"/>
    <s v="Yes"/>
    <x v="1"/>
    <n v="0"/>
    <x v="2"/>
    <x v="1"/>
    <x v="0"/>
    <s v="No"/>
    <s v="Yes"/>
    <x v="6"/>
  </r>
  <r>
    <x v="110"/>
    <x v="0"/>
    <x v="0"/>
    <x v="1"/>
    <x v="0"/>
    <s v="No"/>
    <s v="No"/>
    <x v="0"/>
    <n v="2"/>
    <x v="1"/>
    <x v="1"/>
    <x v="0"/>
    <s v="No"/>
    <s v="Yes"/>
    <x v="1"/>
  </r>
  <r>
    <x v="111"/>
    <x v="1"/>
    <x v="1"/>
    <x v="2"/>
    <x v="2"/>
    <s v="No"/>
    <s v="Yes"/>
    <x v="0"/>
    <n v="0"/>
    <x v="0"/>
    <x v="1"/>
    <x v="1"/>
    <s v="Yes"/>
    <s v="Yes"/>
    <x v="1"/>
  </r>
  <r>
    <x v="112"/>
    <x v="0"/>
    <x v="1"/>
    <x v="0"/>
    <x v="0"/>
    <s v="Yes"/>
    <s v="No"/>
    <x v="0"/>
    <n v="0"/>
    <x v="3"/>
    <x v="1"/>
    <x v="0"/>
    <s v="Yes"/>
    <s v="Yes"/>
    <x v="1"/>
  </r>
  <r>
    <x v="113"/>
    <x v="0"/>
    <x v="1"/>
    <x v="0"/>
    <x v="0"/>
    <s v="No"/>
    <s v="No"/>
    <x v="0"/>
    <n v="0"/>
    <x v="1"/>
    <x v="1"/>
    <x v="0"/>
    <s v="No"/>
    <s v="Yes"/>
    <x v="0"/>
  </r>
  <r>
    <x v="114"/>
    <x v="0"/>
    <x v="1"/>
    <x v="1"/>
    <x v="2"/>
    <s v="Yes"/>
    <s v="Yes"/>
    <x v="0"/>
    <n v="8"/>
    <x v="0"/>
    <x v="0"/>
    <x v="0"/>
    <s v="Yes"/>
    <s v="Yes"/>
    <x v="1"/>
  </r>
  <r>
    <x v="115"/>
    <x v="0"/>
    <x v="1"/>
    <x v="1"/>
    <x v="2"/>
    <s v="Yes"/>
    <s v="No"/>
    <x v="1"/>
    <n v="0"/>
    <x v="0"/>
    <x v="0"/>
    <x v="0"/>
    <s v="Yes"/>
    <s v="Yes"/>
    <x v="0"/>
  </r>
  <r>
    <x v="116"/>
    <x v="0"/>
    <x v="1"/>
    <x v="1"/>
    <x v="2"/>
    <s v="No"/>
    <s v="No"/>
    <x v="0"/>
    <n v="0"/>
    <x v="0"/>
    <x v="0"/>
    <x v="0"/>
    <s v="Yes"/>
    <s v="No"/>
    <x v="0"/>
  </r>
  <r>
    <x v="117"/>
    <x v="2"/>
    <x v="1"/>
    <x v="2"/>
    <x v="0"/>
    <s v="No"/>
    <s v="Yes"/>
    <x v="0"/>
    <n v="0"/>
    <x v="0"/>
    <x v="1"/>
    <x v="0"/>
    <s v="No"/>
    <s v="Yes"/>
    <x v="0"/>
  </r>
  <r>
    <x v="118"/>
    <x v="1"/>
    <x v="0"/>
    <x v="1"/>
    <x v="2"/>
    <s v="No"/>
    <s v="Yes"/>
    <x v="1"/>
    <n v="0"/>
    <x v="1"/>
    <x v="1"/>
    <x v="0"/>
    <s v="No"/>
    <s v="No"/>
    <x v="0"/>
  </r>
  <r>
    <x v="119"/>
    <x v="0"/>
    <x v="1"/>
    <x v="1"/>
    <x v="1"/>
    <s v="No"/>
    <s v="Yes"/>
    <x v="0"/>
    <n v="0"/>
    <x v="0"/>
    <x v="1"/>
    <x v="1"/>
    <s v="Yes"/>
    <s v="Yes"/>
    <x v="1"/>
  </r>
  <r>
    <x v="120"/>
    <x v="0"/>
    <x v="1"/>
    <x v="2"/>
    <x v="0"/>
    <s v="Yes"/>
    <s v="Yes"/>
    <x v="1"/>
    <n v="2"/>
    <x v="2"/>
    <x v="1"/>
    <x v="1"/>
    <s v="Yes"/>
    <s v="Yes"/>
    <x v="0"/>
  </r>
  <r>
    <x v="121"/>
    <x v="0"/>
    <x v="1"/>
    <x v="1"/>
    <x v="0"/>
    <s v="Yes"/>
    <s v="Yes"/>
    <x v="1"/>
    <n v="0"/>
    <x v="2"/>
    <x v="0"/>
    <x v="0"/>
    <s v="Yes"/>
    <s v="No"/>
    <x v="3"/>
  </r>
  <r>
    <x v="122"/>
    <x v="1"/>
    <x v="0"/>
    <x v="1"/>
    <x v="2"/>
    <s v="No"/>
    <s v="Yes"/>
    <x v="0"/>
    <n v="0"/>
    <x v="0"/>
    <x v="0"/>
    <x v="1"/>
    <s v="Yes"/>
    <s v="Yes"/>
    <x v="1"/>
  </r>
  <r>
    <x v="123"/>
    <x v="0"/>
    <x v="1"/>
    <x v="0"/>
    <x v="0"/>
    <s v="No"/>
    <s v="No"/>
    <x v="0"/>
    <n v="12"/>
    <x v="0"/>
    <x v="0"/>
    <x v="1"/>
    <s v="No"/>
    <s v="No"/>
    <x v="0"/>
  </r>
  <r>
    <x v="124"/>
    <x v="1"/>
    <x v="1"/>
    <x v="1"/>
    <x v="1"/>
    <s v="Yes"/>
    <s v="Yes"/>
    <x v="1"/>
    <n v="0"/>
    <x v="0"/>
    <x v="1"/>
    <x v="1"/>
    <s v="Yes"/>
    <s v="Yes"/>
    <x v="4"/>
  </r>
  <r>
    <x v="125"/>
    <x v="1"/>
    <x v="1"/>
    <x v="1"/>
    <x v="2"/>
    <s v="Yes"/>
    <s v="Yes"/>
    <x v="0"/>
    <n v="0"/>
    <x v="0"/>
    <x v="1"/>
    <x v="0"/>
    <s v="Yes"/>
    <s v="No"/>
    <x v="1"/>
  </r>
  <r>
    <x v="126"/>
    <x v="1"/>
    <x v="1"/>
    <x v="2"/>
    <x v="1"/>
    <s v="Yes"/>
    <s v="Yes"/>
    <x v="1"/>
    <n v="12"/>
    <x v="2"/>
    <x v="1"/>
    <x v="0"/>
    <n v="6"/>
    <s v="Yes"/>
    <x v="4"/>
  </r>
  <r>
    <x v="127"/>
    <x v="1"/>
    <x v="1"/>
    <x v="1"/>
    <x v="1"/>
    <s v="No"/>
    <s v="No"/>
    <x v="0"/>
    <n v="0"/>
    <x v="1"/>
    <x v="1"/>
    <x v="1"/>
    <s v="No"/>
    <s v="Yes"/>
    <x v="0"/>
  </r>
  <r>
    <x v="128"/>
    <x v="1"/>
    <x v="1"/>
    <x v="1"/>
    <x v="1"/>
    <s v="No"/>
    <s v="Yes"/>
    <x v="1"/>
    <n v="0"/>
    <x v="1"/>
    <x v="1"/>
    <x v="1"/>
    <s v="No"/>
    <s v="Yes"/>
    <x v="3"/>
  </r>
  <r>
    <x v="129"/>
    <x v="1"/>
    <x v="1"/>
    <x v="1"/>
    <x v="0"/>
    <s v="Yes"/>
    <s v="Yes"/>
    <x v="0"/>
    <n v="0"/>
    <x v="0"/>
    <x v="0"/>
    <x v="0"/>
    <s v="Yes"/>
    <s v="No"/>
    <x v="4"/>
  </r>
  <r>
    <x v="130"/>
    <x v="1"/>
    <x v="1"/>
    <x v="1"/>
    <x v="0"/>
    <s v="Yes"/>
    <s v="Yes"/>
    <x v="0"/>
    <n v="0"/>
    <x v="0"/>
    <x v="0"/>
    <x v="0"/>
    <s v="No"/>
    <s v="No"/>
    <x v="0"/>
  </r>
  <r>
    <x v="131"/>
    <x v="1"/>
    <x v="1"/>
    <x v="2"/>
    <x v="2"/>
    <s v="No"/>
    <s v="Yes"/>
    <x v="0"/>
    <n v="0"/>
    <x v="2"/>
    <x v="1"/>
    <x v="0"/>
    <s v="Yes"/>
    <s v="Yes"/>
    <x v="5"/>
  </r>
  <r>
    <x v="132"/>
    <x v="1"/>
    <x v="1"/>
    <x v="2"/>
    <x v="2"/>
    <s v="No"/>
    <s v="Yes"/>
    <x v="0"/>
    <n v="0"/>
    <x v="0"/>
    <x v="1"/>
    <x v="0"/>
    <s v="No"/>
    <s v="No"/>
    <x v="4"/>
  </r>
  <r>
    <x v="133"/>
    <x v="1"/>
    <x v="1"/>
    <x v="1"/>
    <x v="2"/>
    <s v="No"/>
    <s v="No"/>
    <x v="1"/>
    <n v="0"/>
    <x v="0"/>
    <x v="0"/>
    <x v="0"/>
    <s v="Yes"/>
    <s v="Yes"/>
    <x v="4"/>
  </r>
  <r>
    <x v="134"/>
    <x v="1"/>
    <x v="1"/>
    <x v="1"/>
    <x v="1"/>
    <s v="No"/>
    <s v="Yes"/>
    <x v="0"/>
    <n v="0"/>
    <x v="2"/>
    <x v="1"/>
    <x v="0"/>
    <s v="Yes"/>
    <s v="Yes"/>
    <x v="0"/>
  </r>
  <r>
    <x v="135"/>
    <x v="0"/>
    <x v="1"/>
    <x v="1"/>
    <x v="0"/>
    <s v="Yes"/>
    <s v="Yes"/>
    <x v="0"/>
    <n v="0"/>
    <x v="1"/>
    <x v="1"/>
    <x v="1"/>
    <s v="Yes"/>
    <s v="Yes"/>
    <x v="1"/>
  </r>
  <r>
    <x v="136"/>
    <x v="1"/>
    <x v="1"/>
    <x v="1"/>
    <x v="0"/>
    <s v="Yes"/>
    <s v="Yes"/>
    <x v="1"/>
    <n v="0"/>
    <x v="2"/>
    <x v="1"/>
    <x v="1"/>
    <s v="Yes"/>
    <s v="No"/>
    <x v="3"/>
  </r>
  <r>
    <x v="137"/>
    <x v="1"/>
    <x v="1"/>
    <x v="2"/>
    <x v="2"/>
    <s v="No"/>
    <s v="Yes"/>
    <x v="0"/>
    <n v="0"/>
    <x v="0"/>
    <x v="0"/>
    <x v="1"/>
    <s v="No"/>
    <s v="Yes"/>
    <x v="1"/>
  </r>
  <r>
    <x v="138"/>
    <x v="1"/>
    <x v="1"/>
    <x v="1"/>
    <x v="1"/>
    <s v="Yes"/>
    <s v="Yes"/>
    <x v="1"/>
    <n v="12"/>
    <x v="2"/>
    <x v="1"/>
    <x v="1"/>
    <s v="Yes"/>
    <s v="Yes"/>
    <x v="3"/>
  </r>
  <r>
    <x v="139"/>
    <x v="1"/>
    <x v="1"/>
    <x v="1"/>
    <x v="1"/>
    <s v="Yes"/>
    <s v="No"/>
    <x v="1"/>
    <n v="2"/>
    <x v="2"/>
    <x v="1"/>
    <x v="1"/>
    <s v="Yes"/>
    <s v="Yes"/>
    <x v="3"/>
  </r>
  <r>
    <x v="140"/>
    <x v="0"/>
    <x v="1"/>
    <x v="1"/>
    <x v="0"/>
    <s v="Yes"/>
    <s v="Yes"/>
    <x v="0"/>
    <n v="0"/>
    <x v="0"/>
    <x v="1"/>
    <x v="0"/>
    <s v="No"/>
    <s v="Yes"/>
    <x v="2"/>
  </r>
  <r>
    <x v="141"/>
    <x v="1"/>
    <x v="1"/>
    <x v="1"/>
    <x v="1"/>
    <s v="No"/>
    <s v="No"/>
    <x v="0"/>
    <n v="0"/>
    <x v="1"/>
    <x v="1"/>
    <x v="0"/>
    <s v="Yes"/>
    <s v="No"/>
    <x v="2"/>
  </r>
  <r>
    <x v="142"/>
    <x v="1"/>
    <x v="1"/>
    <x v="2"/>
    <x v="1"/>
    <s v="No"/>
    <s v="No"/>
    <x v="0"/>
    <n v="0"/>
    <x v="0"/>
    <x v="0"/>
    <x v="1"/>
    <s v="No"/>
    <s v="No"/>
    <x v="0"/>
  </r>
  <r>
    <x v="143"/>
    <x v="0"/>
    <x v="1"/>
    <x v="1"/>
    <x v="1"/>
    <s v="Yes"/>
    <s v="Yes"/>
    <x v="1"/>
    <n v="12"/>
    <x v="2"/>
    <x v="1"/>
    <x v="0"/>
    <s v="No"/>
    <s v="Yes"/>
    <x v="5"/>
  </r>
  <r>
    <x v="144"/>
    <x v="1"/>
    <x v="1"/>
    <x v="2"/>
    <x v="2"/>
    <s v="No"/>
    <s v="No"/>
    <x v="0"/>
    <n v="12"/>
    <x v="0"/>
    <x v="0"/>
    <x v="1"/>
    <s v="Yes"/>
    <s v="No"/>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3DFAD4-47EC-45F3-AD3C-6AE64EBE7BD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50:K196" firstHeaderRow="1" firstDataRow="1" firstDataCol="1"/>
  <pivotFields count="15">
    <pivotField axis="axisRow" showAll="0">
      <items count="146">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items count="4">
        <item x="1"/>
        <item x="0"/>
        <item x="2"/>
        <item t="default"/>
      </items>
    </pivotField>
    <pivotField showAll="0">
      <items count="3">
        <item x="1"/>
        <item x="0"/>
        <item t="default"/>
      </items>
    </pivotField>
    <pivotField showAll="0">
      <items count="4">
        <item x="0"/>
        <item x="2"/>
        <item x="1"/>
        <item t="default"/>
      </items>
    </pivotField>
    <pivotField dataField="1" showAll="0">
      <items count="6">
        <item x="3"/>
        <item x="0"/>
        <item x="1"/>
        <item x="2"/>
        <item x="4"/>
        <item t="default"/>
      </items>
    </pivotField>
    <pivotField showAll="0"/>
    <pivotField showAll="0"/>
    <pivotField showAll="0">
      <items count="3">
        <item x="1"/>
        <item x="0"/>
        <item t="default"/>
      </items>
    </pivotField>
    <pivotField showAll="0"/>
    <pivotField showAll="0">
      <items count="5">
        <item x="3"/>
        <item x="0"/>
        <item x="1"/>
        <item x="2"/>
        <item t="default"/>
      </items>
    </pivotField>
    <pivotField showAll="0">
      <items count="3">
        <item x="1"/>
        <item x="0"/>
        <item t="default"/>
      </items>
    </pivotField>
    <pivotField showAll="0">
      <items count="4">
        <item x="2"/>
        <item x="1"/>
        <item x="0"/>
        <item t="default"/>
      </items>
    </pivotField>
    <pivotField showAll="0"/>
    <pivotField showAll="0"/>
    <pivotField showAll="0">
      <items count="9">
        <item x="0"/>
        <item x="1"/>
        <item x="4"/>
        <item x="5"/>
        <item x="2"/>
        <item x="7"/>
        <item x="6"/>
        <item x="3"/>
        <item t="default"/>
      </items>
    </pivotField>
  </pivotFields>
  <rowFields count="1">
    <field x="0"/>
  </rowFields>
  <rowItems count="1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t="grand">
      <x/>
    </i>
  </rowItems>
  <colItems count="1">
    <i/>
  </colItems>
  <dataFields count="1">
    <dataField name="Sum of Scholarship" fld="4"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B029E3-639C-41B0-A90A-9EF50394655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K17:L21" firstHeaderRow="1" firstDataRow="1" firstDataCol="1"/>
  <pivotFields count="15">
    <pivotField showAll="0">
      <items count="146">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items count="4">
        <item x="1"/>
        <item x="0"/>
        <item x="2"/>
        <item t="default"/>
      </items>
    </pivotField>
    <pivotField showAll="0">
      <items count="3">
        <item x="1"/>
        <item x="0"/>
        <item t="default"/>
      </items>
    </pivotField>
    <pivotField axis="axisRow" showAll="0">
      <items count="4">
        <item x="0"/>
        <item x="2"/>
        <item x="1"/>
        <item t="default"/>
      </items>
    </pivotField>
    <pivotField showAll="0"/>
    <pivotField showAll="0"/>
    <pivotField showAll="0"/>
    <pivotField showAll="0">
      <items count="3">
        <item x="1"/>
        <item x="0"/>
        <item t="default"/>
      </items>
    </pivotField>
    <pivotField showAll="0"/>
    <pivotField showAll="0">
      <items count="5">
        <item x="3"/>
        <item x="0"/>
        <item x="1"/>
        <item x="2"/>
        <item t="default"/>
      </items>
    </pivotField>
    <pivotField showAll="0">
      <items count="3">
        <item x="1"/>
        <item x="0"/>
        <item t="default"/>
      </items>
    </pivotField>
    <pivotField showAll="0"/>
    <pivotField showAll="0"/>
    <pivotField dataField="1" showAll="0"/>
    <pivotField showAll="0">
      <items count="9">
        <item x="0"/>
        <item x="1"/>
        <item x="4"/>
        <item x="5"/>
        <item x="2"/>
        <item x="7"/>
        <item x="6"/>
        <item x="3"/>
        <item t="default"/>
      </items>
    </pivotField>
  </pivotFields>
  <rowFields count="1">
    <field x="3"/>
  </rowFields>
  <rowItems count="4">
    <i>
      <x/>
    </i>
    <i>
      <x v="1"/>
    </i>
    <i>
      <x v="2"/>
    </i>
    <i t="grand">
      <x/>
    </i>
  </rowItems>
  <colItems count="1">
    <i/>
  </colItems>
  <dataFields count="1">
    <dataField name="Count of Project_work" fld="13" subtotal="count" baseField="0" baseItem="0"/>
  </dataFields>
  <chartFormats count="4">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22CE45-40C4-4360-AC56-D6FDDC52C80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7:B21" firstHeaderRow="1" firstDataRow="1" firstDataCol="1"/>
  <pivotFields count="15">
    <pivotField showAll="0">
      <items count="146">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items count="4">
        <item x="1"/>
        <item x="0"/>
        <item x="2"/>
        <item t="default"/>
      </items>
    </pivotField>
    <pivotField showAll="0">
      <items count="3">
        <item x="1"/>
        <item x="0"/>
        <item t="default"/>
      </items>
    </pivotField>
    <pivotField axis="axisRow" showAll="0">
      <items count="4">
        <item x="0"/>
        <item x="2"/>
        <item x="1"/>
        <item t="default"/>
      </items>
    </pivotField>
    <pivotField showAll="0"/>
    <pivotField showAll="0"/>
    <pivotField showAll="0"/>
    <pivotField showAll="0">
      <items count="3">
        <item x="1"/>
        <item x="0"/>
        <item t="default"/>
      </items>
    </pivotField>
    <pivotField showAll="0"/>
    <pivotField dataField="1" showAll="0">
      <items count="5">
        <item x="3"/>
        <item x="0"/>
        <item x="1"/>
        <item x="2"/>
        <item t="default"/>
      </items>
    </pivotField>
    <pivotField showAll="0"/>
    <pivotField showAll="0"/>
    <pivotField showAll="0"/>
    <pivotField showAll="0"/>
    <pivotField showAll="0">
      <items count="9">
        <item x="0"/>
        <item x="1"/>
        <item x="4"/>
        <item x="5"/>
        <item x="2"/>
        <item x="7"/>
        <item x="6"/>
        <item x="3"/>
        <item t="default"/>
      </items>
    </pivotField>
  </pivotFields>
  <rowFields count="1">
    <field x="3"/>
  </rowFields>
  <rowItems count="4">
    <i>
      <x/>
    </i>
    <i>
      <x v="1"/>
    </i>
    <i>
      <x v="2"/>
    </i>
    <i t="grand">
      <x/>
    </i>
  </rowItems>
  <colItems count="1">
    <i/>
  </colItems>
  <dataFields count="1">
    <dataField name="Count of Attendance" fld="9" subtotal="count" baseField="0" baseItem="0"/>
  </dataFields>
  <chartFormats count="1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3" count="1" selected="0">
            <x v="0"/>
          </reference>
        </references>
      </pivotArea>
    </chartFormat>
    <chartFormat chart="5" format="10">
      <pivotArea type="data" outline="0" fieldPosition="0">
        <references count="2">
          <reference field="4294967294" count="1" selected="0">
            <x v="0"/>
          </reference>
          <reference field="3" count="1" selected="0">
            <x v="1"/>
          </reference>
        </references>
      </pivotArea>
    </chartFormat>
    <chartFormat chart="5" format="11">
      <pivotArea type="data" outline="0" fieldPosition="0">
        <references count="2">
          <reference field="4294967294" count="1" selected="0">
            <x v="0"/>
          </reference>
          <reference field="3" count="1" selected="0">
            <x v="2"/>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3" count="1" selected="0">
            <x v="0"/>
          </reference>
        </references>
      </pivotArea>
    </chartFormat>
    <chartFormat chart="11" format="14">
      <pivotArea type="data" outline="0" fieldPosition="0">
        <references count="2">
          <reference field="4294967294" count="1" selected="0">
            <x v="0"/>
          </reference>
          <reference field="3" count="1" selected="0">
            <x v="1"/>
          </reference>
        </references>
      </pivotArea>
    </chartFormat>
    <chartFormat chart="11" format="15">
      <pivotArea type="data" outline="0" fieldPosition="0">
        <references count="2">
          <reference field="4294967294" count="1" selected="0">
            <x v="0"/>
          </reference>
          <reference field="3" count="1" selected="0">
            <x v="2"/>
          </reference>
        </references>
      </pivotArea>
    </chartFormat>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3" count="1" selected="0">
            <x v="0"/>
          </reference>
        </references>
      </pivotArea>
    </chartFormat>
    <chartFormat chart="12" format="18">
      <pivotArea type="data" outline="0" fieldPosition="0">
        <references count="2">
          <reference field="4294967294" count="1" selected="0">
            <x v="0"/>
          </reference>
          <reference field="3" count="1" selected="0">
            <x v="1"/>
          </reference>
        </references>
      </pivotArea>
    </chartFormat>
    <chartFormat chart="12" format="19">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A0C654-4305-4693-BC3D-487F8182069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K3:L7" firstHeaderRow="1" firstDataRow="1" firstDataCol="1"/>
  <pivotFields count="15">
    <pivotField showAll="0">
      <items count="146">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axis="axisRow" showAll="0">
      <items count="4">
        <item x="1"/>
        <item x="0"/>
        <item x="2"/>
        <item t="default"/>
      </items>
    </pivotField>
    <pivotField showAll="0">
      <items count="3">
        <item x="1"/>
        <item x="0"/>
        <item t="default"/>
      </items>
    </pivotField>
    <pivotField showAll="0">
      <items count="4">
        <item x="0"/>
        <item x="2"/>
        <item x="1"/>
        <item t="default"/>
      </items>
    </pivotField>
    <pivotField showAll="0"/>
    <pivotField showAll="0"/>
    <pivotField showAll="0"/>
    <pivotField showAll="0">
      <items count="3">
        <item x="1"/>
        <item x="0"/>
        <item t="default"/>
      </items>
    </pivotField>
    <pivotField showAll="0"/>
    <pivotField showAll="0">
      <items count="5">
        <item x="3"/>
        <item x="0"/>
        <item x="1"/>
        <item x="2"/>
        <item t="default"/>
      </items>
    </pivotField>
    <pivotField dataField="1" showAll="0">
      <items count="3">
        <item x="1"/>
        <item x="0"/>
        <item t="default"/>
      </items>
    </pivotField>
    <pivotField showAll="0"/>
    <pivotField showAll="0"/>
    <pivotField showAll="0"/>
    <pivotField showAll="0">
      <items count="9">
        <item x="0"/>
        <item x="1"/>
        <item x="4"/>
        <item x="5"/>
        <item x="2"/>
        <item x="7"/>
        <item x="6"/>
        <item x="3"/>
        <item t="default"/>
      </items>
    </pivotField>
  </pivotFields>
  <rowFields count="1">
    <field x="1"/>
  </rowFields>
  <rowItems count="4">
    <i>
      <x/>
    </i>
    <i>
      <x v="1"/>
    </i>
    <i>
      <x v="2"/>
    </i>
    <i t="grand">
      <x/>
    </i>
  </rowItems>
  <colItems count="1">
    <i/>
  </colItems>
  <dataFields count="1">
    <dataField name="Count of Reading" fld="10" subtotal="count" baseField="0" baseItem="0"/>
  </dataFields>
  <chartFormats count="4">
    <chartFormat chart="5"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2239FA-726C-4F66-B1A1-0C75A0B0172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1:B35" firstHeaderRow="1" firstDataRow="1" firstDataCol="1"/>
  <pivotFields count="15">
    <pivotField showAll="0">
      <items count="146">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items count="4">
        <item x="1"/>
        <item x="0"/>
        <item x="2"/>
        <item t="default"/>
      </items>
    </pivotField>
    <pivotField showAll="0">
      <items count="3">
        <item x="1"/>
        <item x="0"/>
        <item t="default"/>
      </items>
    </pivotField>
    <pivotField axis="axisRow" showAll="0">
      <items count="4">
        <item x="0"/>
        <item x="2"/>
        <item x="1"/>
        <item t="default"/>
      </items>
    </pivotField>
    <pivotField showAll="0"/>
    <pivotField showAll="0"/>
    <pivotField showAll="0"/>
    <pivotField showAll="0">
      <items count="3">
        <item x="1"/>
        <item x="0"/>
        <item t="default"/>
      </items>
    </pivotField>
    <pivotField dataField="1" showAll="0"/>
    <pivotField showAll="0">
      <items count="5">
        <item x="3"/>
        <item x="0"/>
        <item x="1"/>
        <item x="2"/>
        <item t="default"/>
      </items>
    </pivotField>
    <pivotField showAll="0"/>
    <pivotField showAll="0"/>
    <pivotField showAll="0"/>
    <pivotField showAll="0"/>
    <pivotField showAll="0">
      <items count="9">
        <item x="0"/>
        <item x="1"/>
        <item x="4"/>
        <item x="5"/>
        <item x="2"/>
        <item x="7"/>
        <item x="6"/>
        <item x="3"/>
        <item t="default"/>
      </items>
    </pivotField>
  </pivotFields>
  <rowFields count="1">
    <field x="3"/>
  </rowFields>
  <rowItems count="4">
    <i>
      <x/>
    </i>
    <i>
      <x v="1"/>
    </i>
    <i>
      <x v="2"/>
    </i>
    <i t="grand">
      <x/>
    </i>
  </rowItems>
  <colItems count="1">
    <i/>
  </colItems>
  <dataFields count="1">
    <dataField name="Sum of Weekly_Study_Hours" fld="8" baseField="0" baseItem="0"/>
  </dataFields>
  <chartFormats count="20">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 count="1" selected="0">
            <x v="0"/>
          </reference>
        </references>
      </pivotArea>
    </chartFormat>
    <chartFormat chart="3" format="2">
      <pivotArea type="data" outline="0" fieldPosition="0">
        <references count="2">
          <reference field="4294967294" count="1" selected="0">
            <x v="0"/>
          </reference>
          <reference field="3" count="1" selected="0">
            <x v="1"/>
          </reference>
        </references>
      </pivotArea>
    </chartFormat>
    <chartFormat chart="3" format="3">
      <pivotArea type="data" outline="0" fieldPosition="0">
        <references count="2">
          <reference field="4294967294" count="1" selected="0">
            <x v="0"/>
          </reference>
          <reference field="3" count="1" selected="0">
            <x v="2"/>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3" count="1" selected="0">
            <x v="0"/>
          </reference>
        </references>
      </pivotArea>
    </chartFormat>
    <chartFormat chart="5" format="6">
      <pivotArea type="data" outline="0" fieldPosition="0">
        <references count="2">
          <reference field="4294967294" count="1" selected="0">
            <x v="0"/>
          </reference>
          <reference field="3" count="1" selected="0">
            <x v="1"/>
          </reference>
        </references>
      </pivotArea>
    </chartFormat>
    <chartFormat chart="5" format="7">
      <pivotArea type="data" outline="0" fieldPosition="0">
        <references count="2">
          <reference field="4294967294" count="1" selected="0">
            <x v="0"/>
          </reference>
          <reference field="3"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3" count="1" selected="0">
            <x v="0"/>
          </reference>
        </references>
      </pivotArea>
    </chartFormat>
    <chartFormat chart="6" format="10">
      <pivotArea type="data" outline="0" fieldPosition="0">
        <references count="2">
          <reference field="4294967294" count="1" selected="0">
            <x v="0"/>
          </reference>
          <reference field="3" count="1" selected="0">
            <x v="1"/>
          </reference>
        </references>
      </pivotArea>
    </chartFormat>
    <chartFormat chart="6" format="11">
      <pivotArea type="data" outline="0" fieldPosition="0">
        <references count="2">
          <reference field="4294967294" count="1" selected="0">
            <x v="0"/>
          </reference>
          <reference field="3" count="1" selected="0">
            <x v="2"/>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3" count="1" selected="0">
            <x v="0"/>
          </reference>
        </references>
      </pivotArea>
    </chartFormat>
    <chartFormat chart="12" format="14">
      <pivotArea type="data" outline="0" fieldPosition="0">
        <references count="2">
          <reference field="4294967294" count="1" selected="0">
            <x v="0"/>
          </reference>
          <reference field="3" count="1" selected="0">
            <x v="1"/>
          </reference>
        </references>
      </pivotArea>
    </chartFormat>
    <chartFormat chart="12" format="15">
      <pivotArea type="data" outline="0" fieldPosition="0">
        <references count="2">
          <reference field="4294967294" count="1" selected="0">
            <x v="0"/>
          </reference>
          <reference field="3" count="1" selected="0">
            <x v="2"/>
          </reference>
        </references>
      </pivotArea>
    </chartFormat>
    <chartFormat chart="13" format="16" series="1">
      <pivotArea type="data" outline="0" fieldPosition="0">
        <references count="1">
          <reference field="4294967294" count="1" selected="0">
            <x v="0"/>
          </reference>
        </references>
      </pivotArea>
    </chartFormat>
    <chartFormat chart="13" format="17">
      <pivotArea type="data" outline="0" fieldPosition="0">
        <references count="2">
          <reference field="4294967294" count="1" selected="0">
            <x v="0"/>
          </reference>
          <reference field="3" count="1" selected="0">
            <x v="0"/>
          </reference>
        </references>
      </pivotArea>
    </chartFormat>
    <chartFormat chart="13" format="18">
      <pivotArea type="data" outline="0" fieldPosition="0">
        <references count="2">
          <reference field="4294967294" count="1" selected="0">
            <x v="0"/>
          </reference>
          <reference field="3" count="1" selected="0">
            <x v="1"/>
          </reference>
        </references>
      </pivotArea>
    </chartFormat>
    <chartFormat chart="13" format="19">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7524F1-07F5-4895-90CF-F3A625DC90E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7" firstHeaderRow="1" firstDataRow="1" firstDataCol="1"/>
  <pivotFields count="15">
    <pivotField showAll="0">
      <items count="146">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axis="axisRow" showAll="0">
      <items count="4">
        <item x="1"/>
        <item x="0"/>
        <item x="2"/>
        <item t="default"/>
      </items>
    </pivotField>
    <pivotField showAll="0">
      <items count="3">
        <item x="1"/>
        <item x="0"/>
        <item t="default"/>
      </items>
    </pivotField>
    <pivotField showAll="0">
      <items count="4">
        <item x="0"/>
        <item x="2"/>
        <item x="1"/>
        <item t="default"/>
      </items>
    </pivotField>
    <pivotField showAll="0"/>
    <pivotField showAll="0"/>
    <pivotField dataField="1" showAll="0"/>
    <pivotField showAll="0">
      <items count="3">
        <item x="1"/>
        <item x="0"/>
        <item t="default"/>
      </items>
    </pivotField>
    <pivotField showAll="0"/>
    <pivotField showAll="0"/>
    <pivotField showAll="0"/>
    <pivotField showAll="0"/>
    <pivotField showAll="0"/>
    <pivotField showAll="0"/>
    <pivotField showAll="0">
      <items count="9">
        <item x="0"/>
        <item x="1"/>
        <item x="4"/>
        <item x="5"/>
        <item x="2"/>
        <item x="7"/>
        <item x="6"/>
        <item x="3"/>
        <item t="default"/>
      </items>
    </pivotField>
  </pivotFields>
  <rowFields count="1">
    <field x="1"/>
  </rowFields>
  <rowItems count="4">
    <i>
      <x/>
    </i>
    <i>
      <x v="1"/>
    </i>
    <i>
      <x v="2"/>
    </i>
    <i t="grand">
      <x/>
    </i>
  </rowItems>
  <colItems count="1">
    <i/>
  </colItems>
  <dataFields count="1">
    <dataField name="Count of Sports_activity" fld="6" subtotal="count" baseField="0" baseItem="0"/>
  </dataField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E75269-3C58-4F5C-BBE1-EA1B39C77DA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K29:L33" firstHeaderRow="1" firstDataRow="1" firstDataCol="1"/>
  <pivotFields count="15">
    <pivotField showAll="0">
      <items count="146">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axis="axisRow" showAll="0">
      <items count="4">
        <item x="1"/>
        <item x="0"/>
        <item x="2"/>
        <item t="default"/>
      </items>
    </pivotField>
    <pivotField showAll="0">
      <items count="3">
        <item x="1"/>
        <item x="0"/>
        <item t="default"/>
      </items>
    </pivotField>
    <pivotField showAll="0">
      <items count="4">
        <item x="0"/>
        <item x="2"/>
        <item x="1"/>
        <item t="default"/>
      </items>
    </pivotField>
    <pivotField dataField="1" showAll="0"/>
    <pivotField showAll="0"/>
    <pivotField showAll="0"/>
    <pivotField showAll="0">
      <items count="3">
        <item x="1"/>
        <item x="0"/>
        <item t="default"/>
      </items>
    </pivotField>
    <pivotField showAll="0"/>
    <pivotField showAll="0">
      <items count="5">
        <item x="3"/>
        <item x="0"/>
        <item x="1"/>
        <item x="2"/>
        <item t="default"/>
      </items>
    </pivotField>
    <pivotField showAll="0">
      <items count="3">
        <item x="1"/>
        <item x="0"/>
        <item t="default"/>
      </items>
    </pivotField>
    <pivotField showAll="0">
      <items count="4">
        <item x="2"/>
        <item x="1"/>
        <item x="0"/>
        <item t="default"/>
      </items>
    </pivotField>
    <pivotField showAll="0"/>
    <pivotField showAll="0"/>
    <pivotField showAll="0">
      <items count="9">
        <item x="0"/>
        <item x="1"/>
        <item x="4"/>
        <item x="5"/>
        <item x="2"/>
        <item x="7"/>
        <item x="6"/>
        <item x="3"/>
        <item t="default"/>
      </items>
    </pivotField>
  </pivotFields>
  <rowFields count="1">
    <field x="1"/>
  </rowFields>
  <rowItems count="4">
    <i>
      <x/>
    </i>
    <i>
      <x v="1"/>
    </i>
    <i>
      <x v="2"/>
    </i>
    <i t="grand">
      <x/>
    </i>
  </rowItems>
  <colItems count="1">
    <i/>
  </colItems>
  <dataFields count="1">
    <dataField name="Count of Scholarship" fld="4" subtotal="count" baseField="0" baseItem="0"/>
  </dataFields>
  <chartFormats count="4">
    <chartFormat chart="9" format="3"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2F39734-B70F-4DD9-A221-7B627C5CF16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I7" firstHeaderRow="1" firstDataRow="1" firstDataCol="1"/>
  <pivotFields count="15">
    <pivotField showAll="0">
      <items count="146">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items count="4">
        <item x="1"/>
        <item x="0"/>
        <item x="2"/>
        <item t="default"/>
      </items>
    </pivotField>
    <pivotField showAll="0">
      <items count="3">
        <item x="1"/>
        <item x="0"/>
        <item t="default"/>
      </items>
    </pivotField>
    <pivotField showAll="0">
      <items count="4">
        <item x="0"/>
        <item x="2"/>
        <item x="1"/>
        <item t="default"/>
      </items>
    </pivotField>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items count="9">
        <item x="0"/>
        <item x="1"/>
        <item x="4"/>
        <item x="5"/>
        <item x="2"/>
        <item x="7"/>
        <item x="6"/>
        <item x="3"/>
        <item t="default"/>
      </items>
    </pivotField>
  </pivotFields>
  <rowFields count="1">
    <field x="7"/>
  </rowFields>
  <rowItems count="3">
    <i>
      <x/>
    </i>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DCB56D6-1A2D-4420-BCE0-25A726C77E7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G8" firstHeaderRow="1" firstDataRow="1" firstDataCol="1"/>
  <pivotFields count="15">
    <pivotField showAll="0">
      <items count="146">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items count="4">
        <item x="1"/>
        <item x="0"/>
        <item x="2"/>
        <item t="default"/>
      </items>
    </pivotField>
    <pivotField showAll="0">
      <items count="3">
        <item x="1"/>
        <item x="0"/>
        <item t="default"/>
      </items>
    </pivotField>
    <pivotField axis="axisRow" showAll="0">
      <items count="4">
        <item x="0"/>
        <item x="2"/>
        <item x="1"/>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items count="9">
        <item x="0"/>
        <item x="1"/>
        <item x="4"/>
        <item x="5"/>
        <item x="2"/>
        <item x="7"/>
        <item x="6"/>
        <item x="3"/>
        <item t="default"/>
      </items>
    </pivotField>
  </pivotFields>
  <rowFields count="1">
    <field x="3"/>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E34582B-2971-46C2-BBC8-410FA527459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5">
    <pivotField dataField="1" showAll="0">
      <items count="146">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items count="4">
        <item x="1"/>
        <item x="0"/>
        <item x="2"/>
        <item t="default"/>
      </items>
    </pivotField>
    <pivotField showAll="0">
      <items count="3">
        <item x="1"/>
        <item x="0"/>
        <item t="default"/>
      </items>
    </pivotField>
    <pivotField showAll="0">
      <items count="4">
        <item x="0"/>
        <item x="2"/>
        <item x="1"/>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items count="9">
        <item x="0"/>
        <item x="1"/>
        <item x="4"/>
        <item x="5"/>
        <item x="2"/>
        <item x="7"/>
        <item x="6"/>
        <item x="3"/>
        <item t="default"/>
      </items>
    </pivotField>
  </pivotFields>
  <rowItems count="1">
    <i/>
  </rowItems>
  <colItems count="1">
    <i/>
  </colItems>
  <dataFields count="1">
    <dataField name="Count of Stu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ID" xr10:uid="{4A26F2A0-CF19-4FCF-BB4C-0C511F5B78B2}" sourceName="Student_ID">
  <pivotTables>
    <pivotTable tabId="5" name="PivotTable7"/>
    <pivotTable tabId="5" name="PivotTable1"/>
    <pivotTable tabId="5" name="PivotTable2"/>
    <pivotTable tabId="2" name="PivotTable1"/>
    <pivotTable tabId="2" name="PivotTable2"/>
    <pivotTable tabId="2" name="PivotTable3"/>
    <pivotTable tabId="2" name="PivotTable4"/>
    <pivotTable tabId="2" name="PivotTable5"/>
    <pivotTable tabId="2" name="PivotTable6"/>
    <pivotTable tabId="2" name="PivotTable7"/>
  </pivotTables>
  <data>
    <tabular pivotCacheId="1256969611">
      <items count="145">
        <i x="0" s="1"/>
        <i x="9" s="1"/>
        <i x="99" s="1"/>
        <i x="100" s="1"/>
        <i x="101" s="1"/>
        <i x="102" s="1"/>
        <i x="103" s="1"/>
        <i x="104" s="1"/>
        <i x="105" s="1"/>
        <i x="106" s="1"/>
        <i x="107" s="1"/>
        <i x="108" s="1"/>
        <i x="10" s="1"/>
        <i x="109" s="1"/>
        <i x="110" s="1"/>
        <i x="111" s="1"/>
        <i x="112" s="1"/>
        <i x="113" s="1"/>
        <i x="114" s="1"/>
        <i x="115" s="1"/>
        <i x="116" s="1"/>
        <i x="117" s="1"/>
        <i x="118" s="1"/>
        <i x="11" s="1"/>
        <i x="119" s="1"/>
        <i x="120" s="1"/>
        <i x="121" s="1"/>
        <i x="122" s="1"/>
        <i x="123" s="1"/>
        <i x="124" s="1"/>
        <i x="125" s="1"/>
        <i x="126" s="1"/>
        <i x="127" s="1"/>
        <i x="128" s="1"/>
        <i x="12" s="1"/>
        <i x="129" s="1"/>
        <i x="130" s="1"/>
        <i x="131" s="1"/>
        <i x="132" s="1"/>
        <i x="133" s="1"/>
        <i x="134" s="1"/>
        <i x="135" s="1"/>
        <i x="136" s="1"/>
        <i x="137" s="1"/>
        <i x="138" s="1"/>
        <i x="13" s="1"/>
        <i x="139" s="1"/>
        <i x="140" s="1"/>
        <i x="141" s="1"/>
        <i x="142" s="1"/>
        <i x="143" s="1"/>
        <i x="144" s="1"/>
        <i x="14" s="1"/>
        <i x="15" s="1"/>
        <i x="16" s="1"/>
        <i x="17" s="1"/>
        <i x="18" s="1"/>
        <i x="1" s="1"/>
        <i x="19" s="1"/>
        <i x="20" s="1"/>
        <i x="21" s="1"/>
        <i x="22" s="1"/>
        <i x="23" s="1"/>
        <i x="24" s="1"/>
        <i x="25" s="1"/>
        <i x="26" s="1"/>
        <i x="27" s="1"/>
        <i x="28" s="1"/>
        <i x="2" s="1"/>
        <i x="29" s="1"/>
        <i x="30" s="1"/>
        <i x="31" s="1"/>
        <i x="32" s="1"/>
        <i x="33" s="1"/>
        <i x="34" s="1"/>
        <i x="35" s="1"/>
        <i x="36" s="1"/>
        <i x="37" s="1"/>
        <i x="38" s="1"/>
        <i x="3" s="1"/>
        <i x="39" s="1"/>
        <i x="40" s="1"/>
        <i x="41" s="1"/>
        <i x="42" s="1"/>
        <i x="43" s="1"/>
        <i x="44" s="1"/>
        <i x="45" s="1"/>
        <i x="46" s="1"/>
        <i x="47" s="1"/>
        <i x="48" s="1"/>
        <i x="4" s="1"/>
        <i x="49" s="1"/>
        <i x="50" s="1"/>
        <i x="51" s="1"/>
        <i x="52" s="1"/>
        <i x="53" s="1"/>
        <i x="54" s="1"/>
        <i x="55" s="1"/>
        <i x="56" s="1"/>
        <i x="57" s="1"/>
        <i x="58" s="1"/>
        <i x="5" s="1"/>
        <i x="59" s="1"/>
        <i x="60" s="1"/>
        <i x="61" s="1"/>
        <i x="62" s="1"/>
        <i x="63" s="1"/>
        <i x="64" s="1"/>
        <i x="65" s="1"/>
        <i x="66" s="1"/>
        <i x="67" s="1"/>
        <i x="68" s="1"/>
        <i x="6" s="1"/>
        <i x="69" s="1"/>
        <i x="70" s="1"/>
        <i x="71" s="1"/>
        <i x="72" s="1"/>
        <i x="73" s="1"/>
        <i x="74" s="1"/>
        <i x="75" s="1"/>
        <i x="76" s="1"/>
        <i x="77" s="1"/>
        <i x="78" s="1"/>
        <i x="7" s="1"/>
        <i x="79" s="1"/>
        <i x="80" s="1"/>
        <i x="81" s="1"/>
        <i x="82" s="1"/>
        <i x="83" s="1"/>
        <i x="84" s="1"/>
        <i x="85" s="1"/>
        <i x="86" s="1"/>
        <i x="87" s="1"/>
        <i x="88" s="1"/>
        <i x="8" s="1"/>
        <i x="89" s="1"/>
        <i x="90" s="1"/>
        <i x="91" s="1"/>
        <i x="92" s="1"/>
        <i x="93" s="1"/>
        <i x="94" s="1"/>
        <i x="95" s="1"/>
        <i x="96" s="1"/>
        <i x="97" s="1"/>
        <i x="9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Age" xr10:uid="{98776B31-7877-4701-A077-D255535D52BF}" sourceName="Student_Age">
  <pivotTables>
    <pivotTable tabId="5" name="PivotTable7"/>
    <pivotTable tabId="5" name="PivotTable1"/>
    <pivotTable tabId="5" name="PivotTable2"/>
    <pivotTable tabId="2" name="PivotTable1"/>
    <pivotTable tabId="2" name="PivotTable2"/>
    <pivotTable tabId="2" name="PivotTable3"/>
    <pivotTable tabId="2" name="PivotTable4"/>
    <pivotTable tabId="2" name="PivotTable5"/>
    <pivotTable tabId="2" name="PivotTable6"/>
    <pivotTable tabId="2" name="PivotTable7"/>
  </pivotTables>
  <data>
    <tabular pivotCacheId="1256969611">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90C688A2-4A51-45C0-A453-92A12BA4C5CD}" sourceName="Sex">
  <pivotTables>
    <pivotTable tabId="5" name="PivotTable7"/>
    <pivotTable tabId="5" name="PivotTable1"/>
    <pivotTable tabId="5" name="PivotTable2"/>
    <pivotTable tabId="2" name="PivotTable1"/>
    <pivotTable tabId="2" name="PivotTable2"/>
    <pivotTable tabId="2" name="PivotTable3"/>
    <pivotTable tabId="2" name="PivotTable4"/>
    <pivotTable tabId="2" name="PivotTable5"/>
    <pivotTable tabId="2" name="PivotTable6"/>
    <pivotTable tabId="2" name="PivotTable7"/>
  </pivotTables>
  <data>
    <tabular pivotCacheId="125696961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gh_School_Type" xr10:uid="{54162671-0D14-4960-BD2B-033ACEA17775}" sourceName="High_School_Type">
  <pivotTables>
    <pivotTable tabId="5" name="PivotTable7"/>
    <pivotTable tabId="5" name="PivotTable1"/>
    <pivotTable tabId="5" name="PivotTable2"/>
    <pivotTable tabId="2" name="PivotTable1"/>
    <pivotTable tabId="2" name="PivotTable2"/>
    <pivotTable tabId="2" name="PivotTable3"/>
    <pivotTable tabId="2" name="PivotTable4"/>
    <pivotTable tabId="2" name="PivotTable5"/>
    <pivotTable tabId="2" name="PivotTable6"/>
    <pivotTable tabId="2" name="PivotTable7"/>
  </pivotTables>
  <data>
    <tabular pivotCacheId="1256969611">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portation" xr10:uid="{A0621A53-9619-477D-9DF9-39C0C63ED618}" sourceName="Transportation">
  <pivotTables>
    <pivotTable tabId="5" name="PivotTable7"/>
    <pivotTable tabId="2" name="PivotTable1"/>
    <pivotTable tabId="2" name="PivotTable2"/>
    <pivotTable tabId="2" name="PivotTable3"/>
    <pivotTable tabId="2" name="PivotTable4"/>
    <pivotTable tabId="2" name="PivotTable5"/>
    <pivotTable tabId="2" name="PivotTable6"/>
    <pivotTable tabId="5" name="PivotTable1"/>
    <pivotTable tabId="5" name="PivotTable2"/>
    <pivotTable tabId="2" name="PivotTable7"/>
  </pivotTables>
  <data>
    <tabular pivotCacheId="1256969611">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B92FE7BF-B6AB-45D4-B16B-F1ED3D709C2C}" sourceName="Grade">
  <pivotTables>
    <pivotTable tabId="5" name="PivotTable7"/>
    <pivotTable tabId="2" name="PivotTable1"/>
    <pivotTable tabId="2" name="PivotTable2"/>
    <pivotTable tabId="2" name="PivotTable3"/>
    <pivotTable tabId="2" name="PivotTable4"/>
    <pivotTable tabId="2" name="PivotTable5"/>
    <pivotTable tabId="2" name="PivotTable6"/>
    <pivotTable tabId="5" name="PivotTable1"/>
    <pivotTable tabId="5" name="PivotTable2"/>
    <pivotTable tabId="2" name="PivotTable7"/>
  </pivotTables>
  <data>
    <tabular pivotCacheId="1256969611">
      <items count="8">
        <i x="0" s="1"/>
        <i x="1" s="1"/>
        <i x="4" s="1"/>
        <i x="5" s="1"/>
        <i x="2" s="1"/>
        <i x="7" s="1"/>
        <i x="6"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_ID" xr10:uid="{9FBFE7FD-EAE6-4D48-AD93-D1B0FF1DDE5D}" cache="Slicer_Student_ID" caption="Student_ID" rowHeight="241300"/>
  <slicer name="Student_Age" xr10:uid="{EDD08438-3444-4380-A732-EE9663983D3D}" cache="Slicer_Student_Age" caption="Student_Age" columnCount="3" rowHeight="241300"/>
  <slicer name="Sex" xr10:uid="{0868EEAB-EB4B-4C59-A6AA-229AACAE05FB}" cache="Slicer_Sex" caption="Sex" columnCount="2" rowHeight="241300"/>
  <slicer name="High_School_Type" xr10:uid="{20CDE683-C5BF-4AF7-9667-36D8F9FDE07C}" cache="Slicer_High_School_Type" caption="High_School_Type" columnCount="3" rowHeight="241300"/>
  <slicer name="Transportation" xr10:uid="{4D21CF60-9811-4DEF-87AF-E48F2663A834}" cache="Slicer_Transportation" caption="Transportation" columnCount="2" rowHeight="241300"/>
  <slicer name="Grade" xr10:uid="{3AF91C8C-CEF0-4603-B42D-25B697677015}" cache="Slicer_Grade" caption="Grad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_ID 1" xr10:uid="{6F0E1BCF-8F2C-47DE-B23B-407F78EBC6BB}" cache="Slicer_Student_ID" caption="Student_ID" style="SlicerStyleDark5" rowHeight="241300"/>
  <slicer name="Student_Age 1" xr10:uid="{7AA2E290-9928-46B3-BB46-E7F2B81C6F43}" cache="Slicer_Student_Age" caption="Student_Age" columnCount="3" style="SlicerStyleDark5" rowHeight="241300"/>
  <slicer name="Sex 1" xr10:uid="{CB6CA2B8-2366-4190-84E3-F0E0C1458651}" cache="Slicer_Sex" caption="Sex" columnCount="2" style="SlicerStyleDark5" rowHeight="241300"/>
  <slicer name="High_School_Type 1" xr10:uid="{C10CA477-DA62-40FA-9005-7CD24DC1CEA8}" cache="Slicer_High_School_Type" caption="High_School_Type" columnCount="3" style="SlicerStyleDark5" rowHeight="241300"/>
  <slicer name="Transportation 1" xr10:uid="{8D6D7B75-86C1-4DA0-B569-AC8FA93A57A5}" cache="Slicer_Transportation" caption="Transportation" columnCount="2" style="SlicerStyleDark5" rowHeight="241300"/>
  <slicer name="Grade 1" xr10:uid="{FABE3B99-8F11-48F2-9A45-E39B43606E7A}" cache="Slicer_Grade" caption="Grade"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C7236D-A826-4353-BAAE-2FA6B17125DA}" name="Table1" displayName="Table1" ref="A3:O20" totalsRowShown="0">
  <autoFilter ref="A3:O20" xr:uid="{81C7236D-A826-4353-BAAE-2FA6B17125DA}"/>
  <tableColumns count="15">
    <tableColumn id="1" xr3:uid="{AABD78A6-8C7C-4E4D-A99E-B7170B1AB8B2}" name="Student_ID"/>
    <tableColumn id="2" xr3:uid="{0E8FDD06-FF91-427D-A98C-8B7B8D3F3913}" name="Student_Age"/>
    <tableColumn id="3" xr3:uid="{3CCCBB47-C5A8-4B1B-9CCC-2E6B1ECBC4A7}" name="Sex"/>
    <tableColumn id="4" xr3:uid="{29C0F222-7F10-4AFC-81CA-9320DA9740A8}" name="High_School_Type"/>
    <tableColumn id="5" xr3:uid="{46A55EA4-06C2-43DE-B150-8F3E4258B2C3}" name="Scholarship"/>
    <tableColumn id="6" xr3:uid="{90F09390-6F8E-4CD7-9AF9-3DFFF8366C4E}" name="Additional_Work"/>
    <tableColumn id="7" xr3:uid="{2483D87D-DC55-4FAF-98B2-5FD3A87BD472}" name="Sports_activity"/>
    <tableColumn id="8" xr3:uid="{562DF395-9BB0-4DC2-8F50-74ED36917E17}" name="Transportation"/>
    <tableColumn id="9" xr3:uid="{EDB6A589-9DF5-4195-BC3B-F7CE97A9DBF3}" name="Weekly_Study_Hours"/>
    <tableColumn id="10" xr3:uid="{A3C45992-1E42-4842-A6C4-132667C19444}" name="Attendance"/>
    <tableColumn id="11" xr3:uid="{968AB20B-BB5C-4AD4-9B94-4B1E11CD97C0}" name="Reading"/>
    <tableColumn id="12" xr3:uid="{FF32D941-E6F4-4928-957F-9A2D4AFF1F90}" name="Notes"/>
    <tableColumn id="13" xr3:uid="{BB8B9F51-8C9F-4544-A1E4-39BD43CB39F1}" name="Listening_in_Class"/>
    <tableColumn id="14" xr3:uid="{68A217C9-6F8F-4D9A-9EDA-219F5D14B576}" name="Project_work"/>
    <tableColumn id="15" xr3:uid="{6D630CFA-1CA2-41BC-8314-CCCA7A20E39B}" name="Gra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hyperlink" Target="file:///C:\Users\gupta\OneDrive\Documents\STUDENTS%20PERFORMANCE.ppt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00001-8B30-4BC0-BB03-5A20E0EA4FD7}">
  <dimension ref="A1:O20"/>
  <sheetViews>
    <sheetView workbookViewId="0">
      <selection activeCell="A3" sqref="A3:O20"/>
    </sheetView>
  </sheetViews>
  <sheetFormatPr defaultRowHeight="15" x14ac:dyDescent="0.25"/>
  <cols>
    <col min="1" max="1" width="13.140625" bestFit="1" customWidth="1"/>
    <col min="2" max="2" width="14.7109375" bestFit="1" customWidth="1"/>
    <col min="3" max="3" width="9.28515625" bestFit="1" customWidth="1"/>
    <col min="4" max="4" width="19.7109375" bestFit="1" customWidth="1"/>
    <col min="5" max="5" width="13.42578125" bestFit="1" customWidth="1"/>
    <col min="6" max="6" width="18.5703125" bestFit="1" customWidth="1"/>
    <col min="7" max="8" width="16.42578125" bestFit="1" customWidth="1"/>
    <col min="9" max="9" width="22.5703125" bestFit="1" customWidth="1"/>
    <col min="10" max="10" width="13.5703125" bestFit="1" customWidth="1"/>
    <col min="11" max="11" width="10.42578125" bestFit="1" customWidth="1"/>
    <col min="12" max="12" width="9.28515625" bestFit="1" customWidth="1"/>
    <col min="13" max="13" width="19.7109375" bestFit="1" customWidth="1"/>
    <col min="14" max="14" width="15" bestFit="1" customWidth="1"/>
    <col min="15" max="15" width="9.28515625" bestFit="1" customWidth="1"/>
  </cols>
  <sheetData>
    <row r="1" spans="1:15" x14ac:dyDescent="0.25">
      <c r="A1" s="2" t="s">
        <v>188</v>
      </c>
    </row>
    <row r="3" spans="1:15" x14ac:dyDescent="0.25">
      <c r="A3" t="s">
        <v>0</v>
      </c>
      <c r="B3" t="s">
        <v>1</v>
      </c>
      <c r="C3" t="s">
        <v>2</v>
      </c>
      <c r="D3" t="s">
        <v>3</v>
      </c>
      <c r="E3" t="s">
        <v>4</v>
      </c>
      <c r="F3" t="s">
        <v>5</v>
      </c>
      <c r="G3" t="s">
        <v>6</v>
      </c>
      <c r="H3" t="s">
        <v>7</v>
      </c>
      <c r="I3" t="s">
        <v>8</v>
      </c>
      <c r="J3" t="s">
        <v>9</v>
      </c>
      <c r="K3" t="s">
        <v>10</v>
      </c>
      <c r="L3" t="s">
        <v>11</v>
      </c>
      <c r="M3" t="s">
        <v>12</v>
      </c>
      <c r="N3" t="s">
        <v>13</v>
      </c>
      <c r="O3" t="s">
        <v>14</v>
      </c>
    </row>
    <row r="4" spans="1:15" x14ac:dyDescent="0.25">
      <c r="A4" t="s">
        <v>15</v>
      </c>
      <c r="B4" t="s">
        <v>16</v>
      </c>
      <c r="C4" t="s">
        <v>17</v>
      </c>
      <c r="D4" t="s">
        <v>18</v>
      </c>
      <c r="E4">
        <v>0.5</v>
      </c>
      <c r="F4" t="s">
        <v>19</v>
      </c>
      <c r="G4" t="s">
        <v>20</v>
      </c>
      <c r="H4" t="s">
        <v>21</v>
      </c>
      <c r="I4">
        <v>0</v>
      </c>
      <c r="J4" t="s">
        <v>22</v>
      </c>
      <c r="K4" t="s">
        <v>19</v>
      </c>
      <c r="L4" t="s">
        <v>19</v>
      </c>
      <c r="M4" t="s">
        <v>20</v>
      </c>
      <c r="N4" t="s">
        <v>20</v>
      </c>
      <c r="O4" t="s">
        <v>23</v>
      </c>
    </row>
    <row r="5" spans="1:15" x14ac:dyDescent="0.25">
      <c r="A5" t="s">
        <v>24</v>
      </c>
      <c r="B5" t="s">
        <v>16</v>
      </c>
      <c r="C5" t="s">
        <v>17</v>
      </c>
      <c r="D5" t="s">
        <v>18</v>
      </c>
      <c r="E5">
        <v>0.5</v>
      </c>
      <c r="F5" t="s">
        <v>19</v>
      </c>
      <c r="G5" t="s">
        <v>20</v>
      </c>
      <c r="H5" t="s">
        <v>21</v>
      </c>
      <c r="I5">
        <v>0</v>
      </c>
      <c r="J5" t="s">
        <v>22</v>
      </c>
      <c r="K5" t="s">
        <v>19</v>
      </c>
      <c r="L5" t="s">
        <v>20</v>
      </c>
      <c r="M5" t="s">
        <v>19</v>
      </c>
      <c r="N5" t="s">
        <v>19</v>
      </c>
      <c r="O5" t="s">
        <v>23</v>
      </c>
    </row>
    <row r="6" spans="1:15" x14ac:dyDescent="0.25">
      <c r="A6" t="s">
        <v>160</v>
      </c>
      <c r="B6" t="s">
        <v>16</v>
      </c>
      <c r="C6" t="s">
        <v>29</v>
      </c>
      <c r="D6" t="s">
        <v>18</v>
      </c>
      <c r="E6">
        <v>0.5</v>
      </c>
      <c r="F6" t="s">
        <v>20</v>
      </c>
      <c r="G6" t="s">
        <v>20</v>
      </c>
      <c r="H6" t="s">
        <v>21</v>
      </c>
      <c r="I6">
        <v>12</v>
      </c>
      <c r="J6" t="s">
        <v>22</v>
      </c>
      <c r="K6" t="s">
        <v>19</v>
      </c>
      <c r="L6" t="s">
        <v>20</v>
      </c>
      <c r="M6" t="s">
        <v>20</v>
      </c>
      <c r="N6" t="s">
        <v>20</v>
      </c>
      <c r="O6" t="s">
        <v>23</v>
      </c>
    </row>
    <row r="7" spans="1:15" x14ac:dyDescent="0.25">
      <c r="A7" t="s">
        <v>150</v>
      </c>
      <c r="B7" t="s">
        <v>16</v>
      </c>
      <c r="C7" t="s">
        <v>29</v>
      </c>
      <c r="D7" t="s">
        <v>18</v>
      </c>
      <c r="E7">
        <v>0.5</v>
      </c>
      <c r="F7" t="s">
        <v>20</v>
      </c>
      <c r="G7" t="s">
        <v>20</v>
      </c>
      <c r="H7" t="s">
        <v>21</v>
      </c>
      <c r="I7">
        <v>0</v>
      </c>
      <c r="J7" t="s">
        <v>27</v>
      </c>
      <c r="K7" t="s">
        <v>20</v>
      </c>
      <c r="L7" t="s">
        <v>19</v>
      </c>
      <c r="M7" t="s">
        <v>20</v>
      </c>
      <c r="N7" t="s">
        <v>19</v>
      </c>
      <c r="O7" t="s">
        <v>23</v>
      </c>
    </row>
    <row r="8" spans="1:15" x14ac:dyDescent="0.25">
      <c r="A8" t="s">
        <v>149</v>
      </c>
      <c r="B8" t="s">
        <v>16</v>
      </c>
      <c r="C8" t="s">
        <v>29</v>
      </c>
      <c r="D8" t="s">
        <v>18</v>
      </c>
      <c r="E8">
        <v>0.5</v>
      </c>
      <c r="F8" t="s">
        <v>19</v>
      </c>
      <c r="G8" t="s">
        <v>20</v>
      </c>
      <c r="H8" t="s">
        <v>21</v>
      </c>
      <c r="I8">
        <v>0</v>
      </c>
      <c r="J8">
        <v>3</v>
      </c>
      <c r="K8" t="s">
        <v>20</v>
      </c>
      <c r="L8" t="s">
        <v>19</v>
      </c>
      <c r="M8" t="s">
        <v>19</v>
      </c>
      <c r="N8" t="s">
        <v>19</v>
      </c>
      <c r="O8" t="s">
        <v>33</v>
      </c>
    </row>
    <row r="9" spans="1:15" x14ac:dyDescent="0.25">
      <c r="A9" t="s">
        <v>132</v>
      </c>
      <c r="B9">
        <v>18</v>
      </c>
      <c r="C9" t="s">
        <v>17</v>
      </c>
      <c r="D9" t="s">
        <v>18</v>
      </c>
      <c r="E9">
        <v>1</v>
      </c>
      <c r="F9" t="s">
        <v>19</v>
      </c>
      <c r="G9" t="s">
        <v>19</v>
      </c>
      <c r="H9" t="s">
        <v>30</v>
      </c>
      <c r="I9">
        <v>0</v>
      </c>
      <c r="J9" t="s">
        <v>37</v>
      </c>
      <c r="K9" t="s">
        <v>20</v>
      </c>
      <c r="L9" t="s">
        <v>20</v>
      </c>
      <c r="M9" t="s">
        <v>20</v>
      </c>
      <c r="N9" t="s">
        <v>19</v>
      </c>
      <c r="O9" t="s">
        <v>35</v>
      </c>
    </row>
    <row r="10" spans="1:15" x14ac:dyDescent="0.25">
      <c r="A10" t="s">
        <v>120</v>
      </c>
      <c r="B10" t="s">
        <v>46</v>
      </c>
      <c r="C10" t="s">
        <v>17</v>
      </c>
      <c r="D10" t="s">
        <v>18</v>
      </c>
      <c r="E10">
        <v>0.5</v>
      </c>
      <c r="F10" t="s">
        <v>19</v>
      </c>
      <c r="G10" t="s">
        <v>20</v>
      </c>
      <c r="H10" t="s">
        <v>30</v>
      </c>
      <c r="I10">
        <v>12</v>
      </c>
      <c r="J10" t="s">
        <v>22</v>
      </c>
      <c r="K10" t="s">
        <v>20</v>
      </c>
      <c r="L10" t="s">
        <v>19</v>
      </c>
      <c r="M10" t="s">
        <v>20</v>
      </c>
      <c r="N10" t="s">
        <v>20</v>
      </c>
      <c r="O10" t="s">
        <v>105</v>
      </c>
    </row>
    <row r="11" spans="1:15" x14ac:dyDescent="0.25">
      <c r="A11" t="s">
        <v>119</v>
      </c>
      <c r="B11" t="s">
        <v>16</v>
      </c>
      <c r="C11" t="s">
        <v>17</v>
      </c>
      <c r="D11" t="s">
        <v>18</v>
      </c>
      <c r="E11">
        <v>0.5</v>
      </c>
      <c r="F11" t="s">
        <v>20</v>
      </c>
      <c r="G11" t="s">
        <v>20</v>
      </c>
      <c r="H11" t="s">
        <v>21</v>
      </c>
      <c r="I11">
        <v>12</v>
      </c>
      <c r="J11" t="s">
        <v>22</v>
      </c>
      <c r="K11" t="s">
        <v>19</v>
      </c>
      <c r="L11" t="s">
        <v>19</v>
      </c>
      <c r="M11" t="s">
        <v>20</v>
      </c>
      <c r="N11" t="s">
        <v>19</v>
      </c>
      <c r="O11" t="s">
        <v>105</v>
      </c>
    </row>
    <row r="12" spans="1:15" x14ac:dyDescent="0.25">
      <c r="A12" t="s">
        <v>38</v>
      </c>
      <c r="B12" t="s">
        <v>16</v>
      </c>
      <c r="C12" t="s">
        <v>29</v>
      </c>
      <c r="D12" t="s">
        <v>18</v>
      </c>
      <c r="E12">
        <v>0.5</v>
      </c>
      <c r="F12" t="s">
        <v>20</v>
      </c>
      <c r="G12" t="s">
        <v>19</v>
      </c>
      <c r="H12" t="s">
        <v>30</v>
      </c>
      <c r="I12">
        <v>0</v>
      </c>
      <c r="J12" t="s">
        <v>22</v>
      </c>
      <c r="K12" t="s">
        <v>20</v>
      </c>
      <c r="L12" t="s">
        <v>20</v>
      </c>
      <c r="M12" t="s">
        <v>20</v>
      </c>
      <c r="N12" t="s">
        <v>19</v>
      </c>
      <c r="O12" t="s">
        <v>35</v>
      </c>
    </row>
    <row r="13" spans="1:15" x14ac:dyDescent="0.25">
      <c r="A13" t="s">
        <v>106</v>
      </c>
      <c r="B13">
        <v>18</v>
      </c>
      <c r="C13" t="s">
        <v>29</v>
      </c>
      <c r="D13" t="s">
        <v>18</v>
      </c>
      <c r="E13">
        <v>0.75</v>
      </c>
      <c r="F13" t="s">
        <v>20</v>
      </c>
      <c r="G13" t="s">
        <v>20</v>
      </c>
      <c r="H13" t="s">
        <v>21</v>
      </c>
      <c r="I13">
        <v>0</v>
      </c>
      <c r="J13" t="s">
        <v>22</v>
      </c>
      <c r="K13" t="s">
        <v>20</v>
      </c>
      <c r="L13" t="s">
        <v>19</v>
      </c>
      <c r="M13" t="s">
        <v>19</v>
      </c>
      <c r="N13" t="s">
        <v>20</v>
      </c>
      <c r="O13" t="s">
        <v>107</v>
      </c>
    </row>
    <row r="14" spans="1:15" x14ac:dyDescent="0.25">
      <c r="A14" t="s">
        <v>101</v>
      </c>
      <c r="B14" t="s">
        <v>16</v>
      </c>
      <c r="C14" t="s">
        <v>17</v>
      </c>
      <c r="D14" t="s">
        <v>18</v>
      </c>
      <c r="E14">
        <v>0.5</v>
      </c>
      <c r="F14" t="s">
        <v>19</v>
      </c>
      <c r="G14" t="s">
        <v>19</v>
      </c>
      <c r="H14" t="s">
        <v>21</v>
      </c>
      <c r="I14">
        <v>12</v>
      </c>
      <c r="J14" t="s">
        <v>22</v>
      </c>
      <c r="K14" t="s">
        <v>20</v>
      </c>
      <c r="L14" t="s">
        <v>20</v>
      </c>
      <c r="M14" t="s">
        <v>20</v>
      </c>
      <c r="N14" t="s">
        <v>20</v>
      </c>
      <c r="O14" t="s">
        <v>23</v>
      </c>
    </row>
    <row r="15" spans="1:15" x14ac:dyDescent="0.25">
      <c r="A15" t="s">
        <v>98</v>
      </c>
      <c r="B15" t="s">
        <v>16</v>
      </c>
      <c r="C15" t="s">
        <v>17</v>
      </c>
      <c r="D15" t="s">
        <v>18</v>
      </c>
      <c r="E15">
        <v>1</v>
      </c>
      <c r="F15" t="s">
        <v>20</v>
      </c>
      <c r="G15" t="s">
        <v>20</v>
      </c>
      <c r="H15" t="s">
        <v>21</v>
      </c>
      <c r="I15">
        <v>0</v>
      </c>
      <c r="J15" t="s">
        <v>22</v>
      </c>
      <c r="K15" t="s">
        <v>19</v>
      </c>
      <c r="L15" t="s">
        <v>20</v>
      </c>
      <c r="M15" t="s">
        <v>20</v>
      </c>
      <c r="N15" t="s">
        <v>19</v>
      </c>
      <c r="O15" t="s">
        <v>52</v>
      </c>
    </row>
    <row r="16" spans="1:15" x14ac:dyDescent="0.25">
      <c r="A16" t="s">
        <v>95</v>
      </c>
      <c r="B16">
        <v>18</v>
      </c>
      <c r="C16" t="s">
        <v>17</v>
      </c>
      <c r="D16" t="s">
        <v>18</v>
      </c>
      <c r="E16">
        <v>0.5</v>
      </c>
      <c r="F16" t="s">
        <v>20</v>
      </c>
      <c r="G16" t="s">
        <v>19</v>
      </c>
      <c r="H16" t="s">
        <v>21</v>
      </c>
      <c r="I16">
        <v>2</v>
      </c>
      <c r="J16" t="s">
        <v>22</v>
      </c>
      <c r="K16" t="s">
        <v>20</v>
      </c>
      <c r="L16" t="s">
        <v>19</v>
      </c>
      <c r="M16" t="s">
        <v>19</v>
      </c>
      <c r="N16" t="s">
        <v>20</v>
      </c>
      <c r="O16" t="s">
        <v>35</v>
      </c>
    </row>
    <row r="17" spans="1:15" x14ac:dyDescent="0.25">
      <c r="A17" t="s">
        <v>85</v>
      </c>
      <c r="B17" t="s">
        <v>16</v>
      </c>
      <c r="C17" t="s">
        <v>29</v>
      </c>
      <c r="D17" t="s">
        <v>18</v>
      </c>
      <c r="E17">
        <v>0.5</v>
      </c>
      <c r="F17" t="s">
        <v>19</v>
      </c>
      <c r="G17" t="s">
        <v>19</v>
      </c>
      <c r="H17" t="s">
        <v>21</v>
      </c>
      <c r="I17">
        <v>0</v>
      </c>
      <c r="J17" t="s">
        <v>22</v>
      </c>
      <c r="K17" t="s">
        <v>19</v>
      </c>
      <c r="L17" t="s">
        <v>19</v>
      </c>
      <c r="M17" t="s">
        <v>20</v>
      </c>
      <c r="N17" t="s">
        <v>20</v>
      </c>
      <c r="O17" t="s">
        <v>77</v>
      </c>
    </row>
    <row r="18" spans="1:15" x14ac:dyDescent="0.25">
      <c r="A18" t="s">
        <v>78</v>
      </c>
      <c r="B18" t="s">
        <v>16</v>
      </c>
      <c r="C18" t="s">
        <v>17</v>
      </c>
      <c r="D18" t="s">
        <v>18</v>
      </c>
      <c r="E18">
        <v>0.5</v>
      </c>
      <c r="F18" t="s">
        <v>20</v>
      </c>
      <c r="G18" t="s">
        <v>20</v>
      </c>
      <c r="H18" t="s">
        <v>30</v>
      </c>
      <c r="I18">
        <v>0</v>
      </c>
      <c r="J18" t="s">
        <v>22</v>
      </c>
      <c r="K18" t="s">
        <v>19</v>
      </c>
      <c r="L18" t="s">
        <v>19</v>
      </c>
      <c r="M18" t="s">
        <v>19</v>
      </c>
      <c r="N18" t="s">
        <v>19</v>
      </c>
      <c r="O18" t="s">
        <v>23</v>
      </c>
    </row>
    <row r="19" spans="1:15" x14ac:dyDescent="0.25">
      <c r="A19" t="s">
        <v>69</v>
      </c>
      <c r="B19" t="s">
        <v>16</v>
      </c>
      <c r="C19" t="s">
        <v>17</v>
      </c>
      <c r="D19" t="s">
        <v>18</v>
      </c>
      <c r="E19">
        <v>0.75</v>
      </c>
      <c r="F19" t="s">
        <v>19</v>
      </c>
      <c r="G19" t="s">
        <v>20</v>
      </c>
      <c r="H19" t="s">
        <v>30</v>
      </c>
      <c r="I19">
        <v>12</v>
      </c>
      <c r="J19" t="s">
        <v>22</v>
      </c>
      <c r="K19" t="s">
        <v>19</v>
      </c>
      <c r="L19" t="s">
        <v>19</v>
      </c>
      <c r="M19" t="s">
        <v>19</v>
      </c>
      <c r="N19" t="s">
        <v>19</v>
      </c>
      <c r="O19" t="s">
        <v>33</v>
      </c>
    </row>
    <row r="20" spans="1:15" x14ac:dyDescent="0.25">
      <c r="A20" t="s">
        <v>62</v>
      </c>
      <c r="B20" t="s">
        <v>16</v>
      </c>
      <c r="C20" t="s">
        <v>17</v>
      </c>
      <c r="D20" t="s">
        <v>18</v>
      </c>
      <c r="E20">
        <v>0.75</v>
      </c>
      <c r="F20" t="s">
        <v>20</v>
      </c>
      <c r="G20" t="s">
        <v>20</v>
      </c>
      <c r="H20" t="s">
        <v>21</v>
      </c>
      <c r="I20">
        <v>0</v>
      </c>
      <c r="J20" t="s">
        <v>27</v>
      </c>
      <c r="K20" t="s">
        <v>20</v>
      </c>
      <c r="L20" t="s">
        <v>20</v>
      </c>
      <c r="M20" t="s">
        <v>19</v>
      </c>
      <c r="N20" t="s">
        <v>19</v>
      </c>
      <c r="O20" t="s">
        <v>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0CA11-7A76-493A-9BE5-356AF60DE691}">
  <dimension ref="A1:O146"/>
  <sheetViews>
    <sheetView workbookViewId="0">
      <selection activeCell="D1" sqref="D1"/>
    </sheetView>
  </sheetViews>
  <sheetFormatPr defaultRowHeight="15" x14ac:dyDescent="0.25"/>
  <cols>
    <col min="1" max="1" width="13.5703125" customWidth="1"/>
    <col min="2" max="2" width="12.42578125" bestFit="1" customWidth="1"/>
    <col min="3" max="3" width="8.42578125" customWidth="1"/>
    <col min="4" max="4" width="17.42578125" bestFit="1" customWidth="1"/>
    <col min="5" max="5" width="11.140625" bestFit="1" customWidth="1"/>
    <col min="6" max="6" width="16.140625" bestFit="1" customWidth="1"/>
    <col min="7" max="8" width="14.140625" bestFit="1" customWidth="1"/>
    <col min="9" max="9" width="20.140625" bestFit="1" customWidth="1"/>
    <col min="10" max="10" width="11.28515625" bestFit="1" customWidth="1"/>
    <col min="11" max="11" width="8.140625" bestFit="1" customWidth="1"/>
    <col min="12" max="12" width="6.28515625" bestFit="1" customWidth="1"/>
    <col min="13" max="13" width="17.42578125" bestFit="1" customWidth="1"/>
    <col min="14" max="14" width="12.7109375" bestFit="1" customWidth="1"/>
    <col min="15" max="15" width="6.28515625" bestFit="1" customWidth="1"/>
  </cols>
  <sheetData>
    <row r="1" spans="1:1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x14ac:dyDescent="0.25">
      <c r="A2" t="s">
        <v>15</v>
      </c>
      <c r="B2" t="s">
        <v>16</v>
      </c>
      <c r="C2" t="s">
        <v>17</v>
      </c>
      <c r="D2" t="s">
        <v>18</v>
      </c>
      <c r="E2" s="1">
        <v>0.5</v>
      </c>
      <c r="F2" t="s">
        <v>19</v>
      </c>
      <c r="G2" t="s">
        <v>20</v>
      </c>
      <c r="H2" t="s">
        <v>21</v>
      </c>
      <c r="I2">
        <v>0</v>
      </c>
      <c r="J2" t="s">
        <v>22</v>
      </c>
      <c r="K2" t="s">
        <v>19</v>
      </c>
      <c r="L2" t="s">
        <v>19</v>
      </c>
      <c r="M2" t="s">
        <v>20</v>
      </c>
      <c r="N2" t="s">
        <v>20</v>
      </c>
      <c r="O2" t="s">
        <v>23</v>
      </c>
    </row>
    <row r="3" spans="1:15" x14ac:dyDescent="0.25">
      <c r="A3" t="s">
        <v>24</v>
      </c>
      <c r="B3" t="s">
        <v>16</v>
      </c>
      <c r="C3" t="s">
        <v>17</v>
      </c>
      <c r="D3" t="s">
        <v>18</v>
      </c>
      <c r="E3" s="1">
        <v>0.5</v>
      </c>
      <c r="F3" t="s">
        <v>19</v>
      </c>
      <c r="G3" t="s">
        <v>20</v>
      </c>
      <c r="H3" t="s">
        <v>21</v>
      </c>
      <c r="I3">
        <v>0</v>
      </c>
      <c r="J3" t="s">
        <v>22</v>
      </c>
      <c r="K3" t="s">
        <v>19</v>
      </c>
      <c r="L3" t="s">
        <v>20</v>
      </c>
      <c r="M3" t="s">
        <v>19</v>
      </c>
      <c r="N3" t="s">
        <v>19</v>
      </c>
      <c r="O3" t="s">
        <v>23</v>
      </c>
    </row>
    <row r="4" spans="1:15" x14ac:dyDescent="0.25">
      <c r="A4" t="s">
        <v>25</v>
      </c>
      <c r="B4" t="s">
        <v>16</v>
      </c>
      <c r="C4" t="s">
        <v>17</v>
      </c>
      <c r="D4" t="s">
        <v>26</v>
      </c>
      <c r="E4" s="1">
        <v>0.5</v>
      </c>
      <c r="F4" t="s">
        <v>20</v>
      </c>
      <c r="G4" t="s">
        <v>20</v>
      </c>
      <c r="H4" t="s">
        <v>21</v>
      </c>
      <c r="I4">
        <v>2</v>
      </c>
      <c r="J4" t="s">
        <v>27</v>
      </c>
      <c r="K4" t="s">
        <v>20</v>
      </c>
      <c r="L4" t="s">
        <v>20</v>
      </c>
      <c r="M4" t="s">
        <v>20</v>
      </c>
      <c r="N4" t="s">
        <v>19</v>
      </c>
      <c r="O4" t="s">
        <v>23</v>
      </c>
    </row>
    <row r="5" spans="1:15" x14ac:dyDescent="0.25">
      <c r="A5" t="s">
        <v>28</v>
      </c>
      <c r="B5">
        <v>18</v>
      </c>
      <c r="C5" t="s">
        <v>29</v>
      </c>
      <c r="D5" t="s">
        <v>21</v>
      </c>
      <c r="E5" s="1">
        <v>0.5</v>
      </c>
      <c r="F5" t="s">
        <v>19</v>
      </c>
      <c r="G5" t="s">
        <v>20</v>
      </c>
      <c r="H5" t="s">
        <v>30</v>
      </c>
      <c r="I5">
        <v>2</v>
      </c>
      <c r="J5" t="s">
        <v>22</v>
      </c>
      <c r="K5" t="s">
        <v>20</v>
      </c>
      <c r="L5" t="s">
        <v>19</v>
      </c>
      <c r="M5" t="s">
        <v>20</v>
      </c>
      <c r="N5" t="s">
        <v>20</v>
      </c>
      <c r="O5" t="s">
        <v>23</v>
      </c>
    </row>
    <row r="6" spans="1:15" x14ac:dyDescent="0.25">
      <c r="A6" t="s">
        <v>31</v>
      </c>
      <c r="B6" t="s">
        <v>16</v>
      </c>
      <c r="C6" t="s">
        <v>17</v>
      </c>
      <c r="D6" t="s">
        <v>21</v>
      </c>
      <c r="E6" s="1">
        <v>0.5</v>
      </c>
      <c r="F6" t="s">
        <v>20</v>
      </c>
      <c r="G6" t="s">
        <v>20</v>
      </c>
      <c r="H6" t="s">
        <v>30</v>
      </c>
      <c r="I6">
        <v>12</v>
      </c>
      <c r="J6" t="s">
        <v>22</v>
      </c>
      <c r="K6" t="s">
        <v>19</v>
      </c>
      <c r="L6" t="s">
        <v>20</v>
      </c>
      <c r="M6" t="s">
        <v>19</v>
      </c>
      <c r="N6" t="s">
        <v>19</v>
      </c>
      <c r="O6" t="s">
        <v>23</v>
      </c>
    </row>
    <row r="7" spans="1:15" x14ac:dyDescent="0.25">
      <c r="A7" t="s">
        <v>32</v>
      </c>
      <c r="B7" t="s">
        <v>16</v>
      </c>
      <c r="C7" t="s">
        <v>17</v>
      </c>
      <c r="D7" t="s">
        <v>26</v>
      </c>
      <c r="E7" s="1">
        <v>0.5</v>
      </c>
      <c r="F7" t="s">
        <v>20</v>
      </c>
      <c r="G7" t="s">
        <v>20</v>
      </c>
      <c r="H7" t="s">
        <v>21</v>
      </c>
      <c r="I7">
        <v>2</v>
      </c>
      <c r="J7" t="s">
        <v>22</v>
      </c>
      <c r="K7" t="s">
        <v>19</v>
      </c>
      <c r="L7" t="s">
        <v>20</v>
      </c>
      <c r="M7" t="s">
        <v>19</v>
      </c>
      <c r="N7" t="s">
        <v>19</v>
      </c>
      <c r="O7" t="s">
        <v>33</v>
      </c>
    </row>
    <row r="8" spans="1:15" x14ac:dyDescent="0.25">
      <c r="A8" t="s">
        <v>34</v>
      </c>
      <c r="B8">
        <v>18</v>
      </c>
      <c r="C8" t="s">
        <v>17</v>
      </c>
      <c r="D8" t="s">
        <v>26</v>
      </c>
      <c r="E8" s="1">
        <v>0.75</v>
      </c>
      <c r="F8" t="s">
        <v>20</v>
      </c>
      <c r="G8" t="s">
        <v>20</v>
      </c>
      <c r="H8" t="s">
        <v>21</v>
      </c>
      <c r="I8">
        <v>0</v>
      </c>
      <c r="J8" t="s">
        <v>22</v>
      </c>
      <c r="K8" t="s">
        <v>20</v>
      </c>
      <c r="L8" t="s">
        <v>19</v>
      </c>
      <c r="M8" t="s">
        <v>19</v>
      </c>
      <c r="N8" t="s">
        <v>19</v>
      </c>
      <c r="O8" t="s">
        <v>35</v>
      </c>
    </row>
    <row r="9" spans="1:15" x14ac:dyDescent="0.25">
      <c r="A9" t="s">
        <v>36</v>
      </c>
      <c r="B9">
        <v>18</v>
      </c>
      <c r="C9" t="s">
        <v>29</v>
      </c>
      <c r="D9" t="s">
        <v>26</v>
      </c>
      <c r="E9" s="1">
        <v>0.5</v>
      </c>
      <c r="F9" t="s">
        <v>19</v>
      </c>
      <c r="G9" t="s">
        <v>19</v>
      </c>
      <c r="H9" t="s">
        <v>30</v>
      </c>
      <c r="I9">
        <v>2</v>
      </c>
      <c r="J9" t="s">
        <v>37</v>
      </c>
      <c r="K9" t="s">
        <v>20</v>
      </c>
      <c r="L9" t="s">
        <v>19</v>
      </c>
      <c r="M9" t="s">
        <v>19</v>
      </c>
      <c r="N9" t="s">
        <v>19</v>
      </c>
      <c r="O9" t="s">
        <v>33</v>
      </c>
    </row>
    <row r="10" spans="1:15" x14ac:dyDescent="0.25">
      <c r="A10" t="s">
        <v>38</v>
      </c>
      <c r="B10" t="s">
        <v>16</v>
      </c>
      <c r="C10" t="s">
        <v>29</v>
      </c>
      <c r="D10" t="s">
        <v>18</v>
      </c>
      <c r="E10" s="1">
        <v>0.5</v>
      </c>
      <c r="F10" t="s">
        <v>20</v>
      </c>
      <c r="G10" t="s">
        <v>19</v>
      </c>
      <c r="H10" t="s">
        <v>30</v>
      </c>
      <c r="I10">
        <v>0</v>
      </c>
      <c r="J10" t="s">
        <v>22</v>
      </c>
      <c r="K10" t="s">
        <v>20</v>
      </c>
      <c r="L10" t="s">
        <v>20</v>
      </c>
      <c r="M10" t="s">
        <v>20</v>
      </c>
      <c r="N10" t="s">
        <v>19</v>
      </c>
      <c r="O10" t="s">
        <v>35</v>
      </c>
    </row>
    <row r="11" spans="1:15" x14ac:dyDescent="0.25">
      <c r="A11" t="s">
        <v>39</v>
      </c>
      <c r="B11" t="s">
        <v>16</v>
      </c>
      <c r="C11" t="s">
        <v>29</v>
      </c>
      <c r="D11" t="s">
        <v>26</v>
      </c>
      <c r="E11" s="1">
        <v>0.5</v>
      </c>
      <c r="F11" t="s">
        <v>20</v>
      </c>
      <c r="G11" t="s">
        <v>20</v>
      </c>
      <c r="H11" t="s">
        <v>30</v>
      </c>
      <c r="I11">
        <v>12</v>
      </c>
      <c r="J11" t="s">
        <v>27</v>
      </c>
      <c r="K11" t="s">
        <v>20</v>
      </c>
      <c r="L11" t="s">
        <v>19</v>
      </c>
      <c r="M11" t="s">
        <v>20</v>
      </c>
      <c r="N11" t="s">
        <v>20</v>
      </c>
      <c r="O11" t="s">
        <v>40</v>
      </c>
    </row>
    <row r="12" spans="1:15" x14ac:dyDescent="0.25">
      <c r="A12" t="s">
        <v>41</v>
      </c>
      <c r="B12">
        <v>18</v>
      </c>
      <c r="C12" t="s">
        <v>29</v>
      </c>
      <c r="D12" t="s">
        <v>21</v>
      </c>
      <c r="E12" s="1">
        <v>0.5</v>
      </c>
      <c r="F12" t="s">
        <v>20</v>
      </c>
      <c r="G12" t="s">
        <v>20</v>
      </c>
      <c r="H12" t="s">
        <v>21</v>
      </c>
      <c r="I12">
        <v>12</v>
      </c>
      <c r="J12" t="s">
        <v>37</v>
      </c>
      <c r="K12" t="s">
        <v>20</v>
      </c>
      <c r="L12" t="s">
        <v>20</v>
      </c>
      <c r="M12" t="s">
        <v>20</v>
      </c>
      <c r="N12" t="s">
        <v>19</v>
      </c>
      <c r="O12" t="s">
        <v>33</v>
      </c>
    </row>
    <row r="13" spans="1:15" x14ac:dyDescent="0.25">
      <c r="A13" t="s">
        <v>42</v>
      </c>
      <c r="B13">
        <v>18</v>
      </c>
      <c r="C13" t="s">
        <v>29</v>
      </c>
      <c r="D13" t="s">
        <v>21</v>
      </c>
      <c r="E13" s="1">
        <v>0.75</v>
      </c>
      <c r="F13" t="s">
        <v>19</v>
      </c>
      <c r="G13" t="s">
        <v>19</v>
      </c>
      <c r="H13" t="s">
        <v>21</v>
      </c>
      <c r="I13">
        <v>8</v>
      </c>
      <c r="J13" t="s">
        <v>37</v>
      </c>
      <c r="K13" t="s">
        <v>20</v>
      </c>
      <c r="L13" t="s">
        <v>19</v>
      </c>
      <c r="M13" t="s">
        <v>20</v>
      </c>
      <c r="N13" t="s">
        <v>19</v>
      </c>
      <c r="O13" t="s">
        <v>40</v>
      </c>
    </row>
    <row r="14" spans="1:15" x14ac:dyDescent="0.25">
      <c r="A14" t="s">
        <v>43</v>
      </c>
      <c r="B14">
        <v>18</v>
      </c>
      <c r="C14" t="s">
        <v>29</v>
      </c>
      <c r="D14" t="s">
        <v>21</v>
      </c>
      <c r="E14" s="1">
        <v>0.75</v>
      </c>
      <c r="F14" t="s">
        <v>20</v>
      </c>
      <c r="G14" t="s">
        <v>20</v>
      </c>
      <c r="H14" t="s">
        <v>21</v>
      </c>
      <c r="I14">
        <v>0</v>
      </c>
      <c r="J14" t="s">
        <v>22</v>
      </c>
      <c r="K14" t="s">
        <v>19</v>
      </c>
      <c r="L14" t="s">
        <v>20</v>
      </c>
      <c r="M14" t="s">
        <v>20</v>
      </c>
      <c r="N14" t="s">
        <v>20</v>
      </c>
      <c r="O14" t="s">
        <v>40</v>
      </c>
    </row>
    <row r="15" spans="1:15" x14ac:dyDescent="0.25">
      <c r="A15" t="s">
        <v>44</v>
      </c>
      <c r="B15" t="s">
        <v>16</v>
      </c>
      <c r="C15" t="s">
        <v>29</v>
      </c>
      <c r="D15" t="s">
        <v>26</v>
      </c>
      <c r="E15" s="1">
        <v>1</v>
      </c>
      <c r="F15" t="s">
        <v>20</v>
      </c>
      <c r="G15" t="s">
        <v>20</v>
      </c>
      <c r="H15" t="s">
        <v>21</v>
      </c>
      <c r="I15">
        <v>0</v>
      </c>
      <c r="J15" t="s">
        <v>22</v>
      </c>
      <c r="K15" t="s">
        <v>19</v>
      </c>
      <c r="L15" t="s">
        <v>20</v>
      </c>
      <c r="M15" t="s">
        <v>20</v>
      </c>
      <c r="N15" t="s">
        <v>19</v>
      </c>
      <c r="O15" t="s">
        <v>23</v>
      </c>
    </row>
    <row r="16" spans="1:15" x14ac:dyDescent="0.25">
      <c r="A16" t="s">
        <v>45</v>
      </c>
      <c r="B16" t="s">
        <v>46</v>
      </c>
      <c r="C16" t="s">
        <v>17</v>
      </c>
      <c r="D16" t="s">
        <v>26</v>
      </c>
      <c r="E16" s="1">
        <v>0.75</v>
      </c>
      <c r="F16" t="s">
        <v>19</v>
      </c>
      <c r="G16" t="s">
        <v>19</v>
      </c>
      <c r="H16" t="s">
        <v>21</v>
      </c>
      <c r="I16">
        <v>12</v>
      </c>
      <c r="J16" t="s">
        <v>27</v>
      </c>
      <c r="K16" t="s">
        <v>20</v>
      </c>
      <c r="L16" t="s">
        <v>20</v>
      </c>
      <c r="M16" t="s">
        <v>19</v>
      </c>
      <c r="N16" t="s">
        <v>19</v>
      </c>
      <c r="O16" t="s">
        <v>33</v>
      </c>
    </row>
    <row r="17" spans="1:15" x14ac:dyDescent="0.25">
      <c r="A17" t="s">
        <v>47</v>
      </c>
      <c r="B17" t="s">
        <v>16</v>
      </c>
      <c r="C17" t="s">
        <v>17</v>
      </c>
      <c r="D17" t="s">
        <v>26</v>
      </c>
      <c r="E17" s="1">
        <v>0.5</v>
      </c>
      <c r="F17" t="s">
        <v>20</v>
      </c>
      <c r="G17" t="s">
        <v>20</v>
      </c>
      <c r="H17" t="s">
        <v>21</v>
      </c>
      <c r="I17">
        <v>0</v>
      </c>
      <c r="J17" t="s">
        <v>22</v>
      </c>
      <c r="K17" t="s">
        <v>20</v>
      </c>
      <c r="L17" t="s">
        <v>19</v>
      </c>
      <c r="M17" t="s">
        <v>20</v>
      </c>
      <c r="N17" t="s">
        <v>19</v>
      </c>
      <c r="O17" t="s">
        <v>33</v>
      </c>
    </row>
    <row r="18" spans="1:15" x14ac:dyDescent="0.25">
      <c r="A18" t="s">
        <v>48</v>
      </c>
      <c r="B18">
        <v>18</v>
      </c>
      <c r="C18" t="s">
        <v>29</v>
      </c>
      <c r="D18" t="s">
        <v>26</v>
      </c>
      <c r="E18" s="1">
        <v>1</v>
      </c>
      <c r="F18" t="s">
        <v>20</v>
      </c>
      <c r="G18" t="s">
        <v>19</v>
      </c>
      <c r="H18" t="s">
        <v>21</v>
      </c>
      <c r="I18">
        <v>0</v>
      </c>
      <c r="J18" t="s">
        <v>22</v>
      </c>
      <c r="K18" t="s">
        <v>19</v>
      </c>
      <c r="L18" t="s">
        <v>20</v>
      </c>
      <c r="M18" t="s">
        <v>20</v>
      </c>
      <c r="N18" t="s">
        <v>20</v>
      </c>
      <c r="O18" t="s">
        <v>23</v>
      </c>
    </row>
    <row r="19" spans="1:15" x14ac:dyDescent="0.25">
      <c r="A19" t="s">
        <v>49</v>
      </c>
      <c r="B19" t="s">
        <v>16</v>
      </c>
      <c r="C19" t="s">
        <v>17</v>
      </c>
      <c r="D19" t="s">
        <v>26</v>
      </c>
      <c r="E19" s="1">
        <v>0.5</v>
      </c>
      <c r="F19" t="s">
        <v>20</v>
      </c>
      <c r="G19" t="s">
        <v>20</v>
      </c>
      <c r="H19" t="s">
        <v>21</v>
      </c>
      <c r="I19">
        <v>0</v>
      </c>
      <c r="J19" t="s">
        <v>22</v>
      </c>
      <c r="K19" t="s">
        <v>19</v>
      </c>
      <c r="L19" t="s">
        <v>20</v>
      </c>
      <c r="M19" t="s">
        <v>20</v>
      </c>
      <c r="N19" t="s">
        <v>19</v>
      </c>
      <c r="O19" t="s">
        <v>33</v>
      </c>
    </row>
    <row r="20" spans="1:15" x14ac:dyDescent="0.25">
      <c r="A20" t="s">
        <v>50</v>
      </c>
      <c r="B20">
        <v>18</v>
      </c>
      <c r="C20" t="s">
        <v>29</v>
      </c>
      <c r="D20" t="s">
        <v>26</v>
      </c>
      <c r="E20" s="1">
        <v>0.75</v>
      </c>
      <c r="F20" t="s">
        <v>20</v>
      </c>
      <c r="G20" t="s">
        <v>20</v>
      </c>
      <c r="H20" t="s">
        <v>21</v>
      </c>
      <c r="I20">
        <v>12</v>
      </c>
      <c r="J20" t="s">
        <v>22</v>
      </c>
      <c r="K20" t="s">
        <v>19</v>
      </c>
      <c r="L20" t="s">
        <v>20</v>
      </c>
      <c r="M20" t="s">
        <v>20</v>
      </c>
      <c r="N20" t="s">
        <v>20</v>
      </c>
      <c r="O20" t="s">
        <v>33</v>
      </c>
    </row>
    <row r="21" spans="1:15" x14ac:dyDescent="0.25">
      <c r="A21" t="s">
        <v>51</v>
      </c>
      <c r="B21">
        <v>18</v>
      </c>
      <c r="C21" t="s">
        <v>17</v>
      </c>
      <c r="D21" t="s">
        <v>21</v>
      </c>
      <c r="E21" s="1">
        <v>0.5</v>
      </c>
      <c r="F21" t="s">
        <v>20</v>
      </c>
      <c r="G21" t="s">
        <v>20</v>
      </c>
      <c r="H21" t="s">
        <v>30</v>
      </c>
      <c r="I21">
        <v>2</v>
      </c>
      <c r="J21" t="s">
        <v>37</v>
      </c>
      <c r="K21" t="s">
        <v>20</v>
      </c>
      <c r="L21" t="s">
        <v>20</v>
      </c>
      <c r="M21" t="s">
        <v>19</v>
      </c>
      <c r="N21" t="s">
        <v>20</v>
      </c>
      <c r="O21" t="s">
        <v>52</v>
      </c>
    </row>
    <row r="22" spans="1:15" x14ac:dyDescent="0.25">
      <c r="A22" t="s">
        <v>53</v>
      </c>
      <c r="B22">
        <v>18</v>
      </c>
      <c r="C22" t="s">
        <v>17</v>
      </c>
      <c r="D22" t="s">
        <v>26</v>
      </c>
      <c r="E22" s="1">
        <v>1</v>
      </c>
      <c r="F22" t="s">
        <v>19</v>
      </c>
      <c r="G22" t="s">
        <v>20</v>
      </c>
      <c r="H22" t="s">
        <v>30</v>
      </c>
      <c r="I22">
        <v>0</v>
      </c>
      <c r="J22" t="s">
        <v>27</v>
      </c>
      <c r="K22" t="s">
        <v>20</v>
      </c>
      <c r="L22" t="s">
        <v>20</v>
      </c>
      <c r="M22" t="s">
        <v>19</v>
      </c>
      <c r="N22" t="s">
        <v>20</v>
      </c>
      <c r="O22" t="s">
        <v>23</v>
      </c>
    </row>
    <row r="23" spans="1:15" x14ac:dyDescent="0.25">
      <c r="A23" t="s">
        <v>54</v>
      </c>
      <c r="B23">
        <v>18</v>
      </c>
      <c r="C23" t="s">
        <v>17</v>
      </c>
      <c r="D23" t="s">
        <v>26</v>
      </c>
      <c r="E23" s="1">
        <v>1</v>
      </c>
      <c r="F23" t="s">
        <v>20</v>
      </c>
      <c r="G23" t="s">
        <v>20</v>
      </c>
      <c r="H23" t="s">
        <v>30</v>
      </c>
      <c r="I23">
        <v>0</v>
      </c>
      <c r="J23" t="s">
        <v>27</v>
      </c>
      <c r="K23" t="s">
        <v>20</v>
      </c>
      <c r="L23" t="s">
        <v>20</v>
      </c>
      <c r="M23" t="s">
        <v>20</v>
      </c>
      <c r="N23" t="s">
        <v>20</v>
      </c>
      <c r="O23" t="s">
        <v>23</v>
      </c>
    </row>
    <row r="24" spans="1:15" x14ac:dyDescent="0.25">
      <c r="A24" t="s">
        <v>55</v>
      </c>
      <c r="B24" t="s">
        <v>16</v>
      </c>
      <c r="C24" t="s">
        <v>17</v>
      </c>
      <c r="D24" t="s">
        <v>26</v>
      </c>
      <c r="E24" s="1">
        <v>0.5</v>
      </c>
      <c r="F24" t="s">
        <v>19</v>
      </c>
      <c r="G24" t="s">
        <v>20</v>
      </c>
      <c r="H24" t="s">
        <v>30</v>
      </c>
      <c r="I24">
        <v>0</v>
      </c>
      <c r="J24" t="s">
        <v>22</v>
      </c>
      <c r="K24" t="s">
        <v>19</v>
      </c>
      <c r="L24" t="s">
        <v>19</v>
      </c>
      <c r="M24" t="s">
        <v>19</v>
      </c>
      <c r="N24" t="s">
        <v>20</v>
      </c>
      <c r="O24" t="s">
        <v>52</v>
      </c>
    </row>
    <row r="25" spans="1:15" x14ac:dyDescent="0.25">
      <c r="A25" t="s">
        <v>56</v>
      </c>
      <c r="B25" t="s">
        <v>46</v>
      </c>
      <c r="C25" t="s">
        <v>17</v>
      </c>
      <c r="D25" t="s">
        <v>26</v>
      </c>
      <c r="E25" s="1">
        <v>0.25</v>
      </c>
      <c r="F25" t="s">
        <v>19</v>
      </c>
      <c r="G25" t="s">
        <v>19</v>
      </c>
      <c r="H25" t="s">
        <v>21</v>
      </c>
      <c r="I25">
        <v>12</v>
      </c>
      <c r="J25" t="s">
        <v>22</v>
      </c>
      <c r="K25" t="s">
        <v>19</v>
      </c>
      <c r="L25" t="s">
        <v>19</v>
      </c>
      <c r="M25" t="s">
        <v>20</v>
      </c>
      <c r="N25" t="s">
        <v>20</v>
      </c>
      <c r="O25" t="s">
        <v>23</v>
      </c>
    </row>
    <row r="26" spans="1:15" x14ac:dyDescent="0.25">
      <c r="A26" t="s">
        <v>57</v>
      </c>
      <c r="B26" t="s">
        <v>16</v>
      </c>
      <c r="C26" t="s">
        <v>17</v>
      </c>
      <c r="D26" t="s">
        <v>26</v>
      </c>
      <c r="E26" s="1">
        <v>0.5</v>
      </c>
      <c r="F26" t="s">
        <v>20</v>
      </c>
      <c r="G26" t="s">
        <v>20</v>
      </c>
      <c r="H26" t="s">
        <v>21</v>
      </c>
      <c r="I26">
        <v>2</v>
      </c>
      <c r="J26" t="s">
        <v>22</v>
      </c>
      <c r="K26" t="s">
        <v>19</v>
      </c>
      <c r="L26" t="s">
        <v>20</v>
      </c>
      <c r="M26" t="s">
        <v>19</v>
      </c>
      <c r="N26" t="s">
        <v>20</v>
      </c>
      <c r="O26" t="s">
        <v>33</v>
      </c>
    </row>
    <row r="27" spans="1:15" x14ac:dyDescent="0.25">
      <c r="A27" t="s">
        <v>58</v>
      </c>
      <c r="B27" t="s">
        <v>16</v>
      </c>
      <c r="C27" t="s">
        <v>17</v>
      </c>
      <c r="D27" t="s">
        <v>26</v>
      </c>
      <c r="E27" s="1">
        <v>0.5</v>
      </c>
      <c r="F27" t="s">
        <v>20</v>
      </c>
      <c r="G27" t="s">
        <v>20</v>
      </c>
      <c r="H27" t="s">
        <v>30</v>
      </c>
      <c r="I27">
        <v>0</v>
      </c>
      <c r="J27" t="s">
        <v>22</v>
      </c>
      <c r="K27" t="s">
        <v>20</v>
      </c>
      <c r="L27" t="s">
        <v>19</v>
      </c>
      <c r="M27" t="s">
        <v>20</v>
      </c>
      <c r="N27" t="s">
        <v>20</v>
      </c>
      <c r="O27" t="s">
        <v>52</v>
      </c>
    </row>
    <row r="28" spans="1:15" x14ac:dyDescent="0.25">
      <c r="A28" t="s">
        <v>59</v>
      </c>
      <c r="B28" t="s">
        <v>16</v>
      </c>
      <c r="C28" t="s">
        <v>17</v>
      </c>
      <c r="D28" t="s">
        <v>26</v>
      </c>
      <c r="E28" s="1">
        <v>0.5</v>
      </c>
      <c r="F28" t="s">
        <v>20</v>
      </c>
      <c r="G28" t="s">
        <v>19</v>
      </c>
      <c r="H28" t="s">
        <v>30</v>
      </c>
      <c r="I28">
        <v>0</v>
      </c>
      <c r="J28" t="s">
        <v>22</v>
      </c>
      <c r="K28" t="s">
        <v>19</v>
      </c>
      <c r="L28" t="s">
        <v>19</v>
      </c>
      <c r="M28" t="s">
        <v>20</v>
      </c>
      <c r="N28" t="s">
        <v>20</v>
      </c>
      <c r="O28" t="s">
        <v>23</v>
      </c>
    </row>
    <row r="29" spans="1:15" x14ac:dyDescent="0.25">
      <c r="A29" t="s">
        <v>60</v>
      </c>
      <c r="B29">
        <v>18</v>
      </c>
      <c r="C29" t="s">
        <v>17</v>
      </c>
      <c r="D29" t="s">
        <v>21</v>
      </c>
      <c r="E29" s="1">
        <v>0.5</v>
      </c>
      <c r="F29" t="s">
        <v>19</v>
      </c>
      <c r="G29" t="s">
        <v>20</v>
      </c>
      <c r="H29" t="s">
        <v>21</v>
      </c>
      <c r="I29">
        <v>0</v>
      </c>
      <c r="J29" t="s">
        <v>22</v>
      </c>
      <c r="K29" t="s">
        <v>19</v>
      </c>
      <c r="L29" t="s">
        <v>19</v>
      </c>
      <c r="M29" t="s">
        <v>19</v>
      </c>
      <c r="N29" t="s">
        <v>20</v>
      </c>
      <c r="O29" t="s">
        <v>23</v>
      </c>
    </row>
    <row r="30" spans="1:15" x14ac:dyDescent="0.25">
      <c r="A30" t="s">
        <v>61</v>
      </c>
      <c r="B30" t="s">
        <v>46</v>
      </c>
      <c r="C30" t="s">
        <v>17</v>
      </c>
      <c r="D30" t="s">
        <v>26</v>
      </c>
      <c r="E30" s="1">
        <v>0.5</v>
      </c>
      <c r="F30" t="s">
        <v>20</v>
      </c>
      <c r="G30" t="s">
        <v>20</v>
      </c>
      <c r="H30" t="s">
        <v>30</v>
      </c>
      <c r="I30">
        <v>0</v>
      </c>
      <c r="J30" t="s">
        <v>27</v>
      </c>
      <c r="K30" t="s">
        <v>20</v>
      </c>
      <c r="L30" t="s">
        <v>20</v>
      </c>
      <c r="M30" t="s">
        <v>20</v>
      </c>
      <c r="N30" t="s">
        <v>20</v>
      </c>
      <c r="O30" t="s">
        <v>52</v>
      </c>
    </row>
    <row r="31" spans="1:15" x14ac:dyDescent="0.25">
      <c r="A31" t="s">
        <v>62</v>
      </c>
      <c r="B31" t="s">
        <v>16</v>
      </c>
      <c r="C31" t="s">
        <v>17</v>
      </c>
      <c r="D31" t="s">
        <v>18</v>
      </c>
      <c r="E31" s="1">
        <v>0.75</v>
      </c>
      <c r="F31" t="s">
        <v>20</v>
      </c>
      <c r="G31" t="s">
        <v>20</v>
      </c>
      <c r="H31" t="s">
        <v>21</v>
      </c>
      <c r="I31">
        <v>0</v>
      </c>
      <c r="J31" t="s">
        <v>27</v>
      </c>
      <c r="K31" t="s">
        <v>20</v>
      </c>
      <c r="L31" t="s">
        <v>20</v>
      </c>
      <c r="M31" t="s">
        <v>19</v>
      </c>
      <c r="N31" t="s">
        <v>19</v>
      </c>
      <c r="O31" t="s">
        <v>35</v>
      </c>
    </row>
    <row r="32" spans="1:15" x14ac:dyDescent="0.25">
      <c r="A32" t="s">
        <v>63</v>
      </c>
      <c r="B32" t="s">
        <v>16</v>
      </c>
      <c r="C32" t="s">
        <v>17</v>
      </c>
      <c r="D32" t="s">
        <v>26</v>
      </c>
      <c r="E32" s="1">
        <v>1</v>
      </c>
      <c r="F32" t="s">
        <v>19</v>
      </c>
      <c r="G32" t="s">
        <v>19</v>
      </c>
      <c r="H32" t="s">
        <v>30</v>
      </c>
      <c r="I32">
        <v>0</v>
      </c>
      <c r="J32" t="s">
        <v>22</v>
      </c>
      <c r="K32" t="s">
        <v>20</v>
      </c>
      <c r="L32" t="s">
        <v>19</v>
      </c>
      <c r="M32" t="s">
        <v>19</v>
      </c>
      <c r="N32" t="s">
        <v>20</v>
      </c>
      <c r="O32" t="s">
        <v>35</v>
      </c>
    </row>
    <row r="33" spans="1:15" x14ac:dyDescent="0.25">
      <c r="A33" t="s">
        <v>64</v>
      </c>
      <c r="B33" t="s">
        <v>46</v>
      </c>
      <c r="C33" t="s">
        <v>17</v>
      </c>
      <c r="D33" t="s">
        <v>26</v>
      </c>
      <c r="E33" s="1">
        <v>0.5</v>
      </c>
      <c r="F33" t="s">
        <v>19</v>
      </c>
      <c r="G33" t="s">
        <v>20</v>
      </c>
      <c r="H33" t="s">
        <v>21</v>
      </c>
      <c r="I33">
        <v>0</v>
      </c>
      <c r="J33" t="s">
        <v>22</v>
      </c>
      <c r="K33" t="s">
        <v>20</v>
      </c>
      <c r="L33" t="s">
        <v>19</v>
      </c>
      <c r="M33" t="s">
        <v>20</v>
      </c>
      <c r="N33" t="s">
        <v>20</v>
      </c>
      <c r="O33" t="s">
        <v>52</v>
      </c>
    </row>
    <row r="34" spans="1:15" x14ac:dyDescent="0.25">
      <c r="A34" t="s">
        <v>65</v>
      </c>
      <c r="B34" t="s">
        <v>16</v>
      </c>
      <c r="C34" t="s">
        <v>29</v>
      </c>
      <c r="D34" t="s">
        <v>26</v>
      </c>
      <c r="E34" s="1">
        <v>0.5</v>
      </c>
      <c r="F34" t="s">
        <v>20</v>
      </c>
      <c r="G34" t="s">
        <v>20</v>
      </c>
      <c r="H34" t="s">
        <v>21</v>
      </c>
      <c r="I34">
        <v>2</v>
      </c>
      <c r="J34" t="s">
        <v>22</v>
      </c>
      <c r="K34" t="s">
        <v>19</v>
      </c>
      <c r="L34" t="s">
        <v>20</v>
      </c>
      <c r="M34" t="s">
        <v>20</v>
      </c>
      <c r="N34" t="s">
        <v>19</v>
      </c>
      <c r="O34" t="s">
        <v>23</v>
      </c>
    </row>
    <row r="35" spans="1:15" x14ac:dyDescent="0.25">
      <c r="A35" t="s">
        <v>66</v>
      </c>
      <c r="B35" t="s">
        <v>16</v>
      </c>
      <c r="C35" t="s">
        <v>29</v>
      </c>
      <c r="D35" t="s">
        <v>26</v>
      </c>
      <c r="E35" s="1">
        <v>0.5</v>
      </c>
      <c r="F35" t="s">
        <v>19</v>
      </c>
      <c r="G35" t="s">
        <v>20</v>
      </c>
      <c r="H35" t="s">
        <v>30</v>
      </c>
      <c r="I35">
        <v>0</v>
      </c>
      <c r="J35" t="s">
        <v>22</v>
      </c>
      <c r="K35" t="s">
        <v>19</v>
      </c>
      <c r="L35" t="s">
        <v>19</v>
      </c>
      <c r="M35" t="s">
        <v>20</v>
      </c>
      <c r="N35" t="s">
        <v>20</v>
      </c>
      <c r="O35" t="s">
        <v>33</v>
      </c>
    </row>
    <row r="36" spans="1:15" x14ac:dyDescent="0.25">
      <c r="A36" t="s">
        <v>67</v>
      </c>
      <c r="B36">
        <v>18</v>
      </c>
      <c r="C36" t="s">
        <v>17</v>
      </c>
      <c r="D36" t="s">
        <v>21</v>
      </c>
      <c r="E36" s="1">
        <v>0.5</v>
      </c>
      <c r="F36" t="s">
        <v>20</v>
      </c>
      <c r="G36" t="s">
        <v>20</v>
      </c>
      <c r="H36" t="s">
        <v>30</v>
      </c>
      <c r="I36">
        <v>2</v>
      </c>
      <c r="J36" t="s">
        <v>22</v>
      </c>
      <c r="K36" t="s">
        <v>19</v>
      </c>
      <c r="L36" t="s">
        <v>20</v>
      </c>
      <c r="M36" t="s">
        <v>19</v>
      </c>
      <c r="N36" t="s">
        <v>20</v>
      </c>
      <c r="O36" t="s">
        <v>33</v>
      </c>
    </row>
    <row r="37" spans="1:15" x14ac:dyDescent="0.25">
      <c r="A37" t="s">
        <v>68</v>
      </c>
      <c r="B37">
        <v>18</v>
      </c>
      <c r="C37" t="s">
        <v>17</v>
      </c>
      <c r="D37" t="s">
        <v>21</v>
      </c>
      <c r="E37" s="1">
        <v>0.75</v>
      </c>
      <c r="F37" t="s">
        <v>20</v>
      </c>
      <c r="G37" t="s">
        <v>20</v>
      </c>
      <c r="H37" t="s">
        <v>21</v>
      </c>
      <c r="I37">
        <v>12</v>
      </c>
      <c r="J37" t="s">
        <v>22</v>
      </c>
      <c r="K37" t="s">
        <v>19</v>
      </c>
      <c r="L37" t="s">
        <v>19</v>
      </c>
      <c r="M37" t="s">
        <v>20</v>
      </c>
      <c r="N37" t="s">
        <v>20</v>
      </c>
      <c r="O37" t="s">
        <v>23</v>
      </c>
    </row>
    <row r="38" spans="1:15" x14ac:dyDescent="0.25">
      <c r="A38" t="s">
        <v>69</v>
      </c>
      <c r="B38" t="s">
        <v>16</v>
      </c>
      <c r="C38" t="s">
        <v>17</v>
      </c>
      <c r="D38" t="s">
        <v>18</v>
      </c>
      <c r="E38" s="1">
        <v>0.75</v>
      </c>
      <c r="F38" t="s">
        <v>19</v>
      </c>
      <c r="G38" t="s">
        <v>20</v>
      </c>
      <c r="H38" t="s">
        <v>30</v>
      </c>
      <c r="I38">
        <v>12</v>
      </c>
      <c r="J38" t="s">
        <v>22</v>
      </c>
      <c r="K38" t="s">
        <v>19</v>
      </c>
      <c r="L38" t="s">
        <v>19</v>
      </c>
      <c r="M38" t="s">
        <v>19</v>
      </c>
      <c r="N38" t="s">
        <v>19</v>
      </c>
      <c r="O38" t="s">
        <v>33</v>
      </c>
    </row>
    <row r="39" spans="1:15" x14ac:dyDescent="0.25">
      <c r="A39" t="s">
        <v>70</v>
      </c>
      <c r="B39" t="s">
        <v>16</v>
      </c>
      <c r="C39" t="s">
        <v>17</v>
      </c>
      <c r="D39" t="s">
        <v>26</v>
      </c>
      <c r="E39" s="1">
        <v>0.5</v>
      </c>
      <c r="F39" t="s">
        <v>19</v>
      </c>
      <c r="G39" t="s">
        <v>19</v>
      </c>
      <c r="H39" t="s">
        <v>30</v>
      </c>
      <c r="I39">
        <v>2</v>
      </c>
      <c r="J39" t="s">
        <v>37</v>
      </c>
      <c r="K39" t="s">
        <v>20</v>
      </c>
      <c r="L39" t="s">
        <v>20</v>
      </c>
      <c r="M39" t="s">
        <v>19</v>
      </c>
      <c r="N39" t="s">
        <v>19</v>
      </c>
      <c r="O39" t="s">
        <v>23</v>
      </c>
    </row>
    <row r="40" spans="1:15" x14ac:dyDescent="0.25">
      <c r="A40" t="s">
        <v>71</v>
      </c>
      <c r="B40" t="s">
        <v>16</v>
      </c>
      <c r="C40" t="s">
        <v>17</v>
      </c>
      <c r="D40" t="s">
        <v>26</v>
      </c>
      <c r="E40" s="1">
        <v>1</v>
      </c>
      <c r="F40" t="s">
        <v>20</v>
      </c>
      <c r="G40" t="s">
        <v>20</v>
      </c>
      <c r="H40" t="s">
        <v>21</v>
      </c>
      <c r="I40">
        <v>0</v>
      </c>
      <c r="J40" t="s">
        <v>22</v>
      </c>
      <c r="K40" t="s">
        <v>19</v>
      </c>
      <c r="L40" t="s">
        <v>20</v>
      </c>
      <c r="M40" t="s">
        <v>19</v>
      </c>
      <c r="N40" t="s">
        <v>19</v>
      </c>
      <c r="O40" t="s">
        <v>33</v>
      </c>
    </row>
    <row r="41" spans="1:15" x14ac:dyDescent="0.25">
      <c r="A41" t="s">
        <v>72</v>
      </c>
      <c r="B41" t="s">
        <v>16</v>
      </c>
      <c r="C41" t="s">
        <v>29</v>
      </c>
      <c r="D41" t="s">
        <v>26</v>
      </c>
      <c r="E41" s="1">
        <v>0.5</v>
      </c>
      <c r="F41" t="s">
        <v>20</v>
      </c>
      <c r="G41" t="s">
        <v>20</v>
      </c>
      <c r="H41" t="s">
        <v>30</v>
      </c>
      <c r="I41">
        <v>0</v>
      </c>
      <c r="J41" t="s">
        <v>22</v>
      </c>
      <c r="K41" t="s">
        <v>20</v>
      </c>
      <c r="L41" t="s">
        <v>19</v>
      </c>
      <c r="M41" t="s">
        <v>19</v>
      </c>
      <c r="N41" t="s">
        <v>19</v>
      </c>
      <c r="O41" t="s">
        <v>23</v>
      </c>
    </row>
    <row r="42" spans="1:15" x14ac:dyDescent="0.25">
      <c r="A42" t="s">
        <v>73</v>
      </c>
      <c r="B42">
        <v>18</v>
      </c>
      <c r="C42" t="s">
        <v>17</v>
      </c>
      <c r="D42" t="s">
        <v>21</v>
      </c>
      <c r="E42" s="1">
        <v>0.5</v>
      </c>
      <c r="F42" t="s">
        <v>20</v>
      </c>
      <c r="G42" t="s">
        <v>20</v>
      </c>
      <c r="H42" t="s">
        <v>21</v>
      </c>
      <c r="I42">
        <v>2</v>
      </c>
      <c r="J42" t="s">
        <v>22</v>
      </c>
      <c r="K42" t="s">
        <v>19</v>
      </c>
      <c r="L42" t="s">
        <v>20</v>
      </c>
      <c r="M42" t="s">
        <v>19</v>
      </c>
      <c r="N42" t="s">
        <v>19</v>
      </c>
      <c r="O42" t="s">
        <v>23</v>
      </c>
    </row>
    <row r="43" spans="1:15" x14ac:dyDescent="0.25">
      <c r="A43" t="s">
        <v>74</v>
      </c>
      <c r="B43" t="s">
        <v>46</v>
      </c>
      <c r="C43" t="s">
        <v>17</v>
      </c>
      <c r="D43" t="s">
        <v>26</v>
      </c>
      <c r="E43" s="1">
        <v>0.5</v>
      </c>
      <c r="F43" t="s">
        <v>19</v>
      </c>
      <c r="G43" t="s">
        <v>20</v>
      </c>
      <c r="H43" t="s">
        <v>21</v>
      </c>
      <c r="I43">
        <v>2</v>
      </c>
      <c r="J43" t="s">
        <v>22</v>
      </c>
      <c r="K43" t="s">
        <v>20</v>
      </c>
      <c r="L43" t="s">
        <v>19</v>
      </c>
      <c r="M43" t="s">
        <v>20</v>
      </c>
      <c r="N43" t="s">
        <v>19</v>
      </c>
      <c r="O43" t="s">
        <v>23</v>
      </c>
    </row>
    <row r="44" spans="1:15" x14ac:dyDescent="0.25">
      <c r="A44" t="s">
        <v>75</v>
      </c>
      <c r="B44" t="s">
        <v>16</v>
      </c>
      <c r="C44" t="s">
        <v>17</v>
      </c>
      <c r="D44" t="s">
        <v>26</v>
      </c>
      <c r="E44" s="1">
        <v>0.5</v>
      </c>
      <c r="F44" t="s">
        <v>20</v>
      </c>
      <c r="G44" t="s">
        <v>19</v>
      </c>
      <c r="H44" t="s">
        <v>21</v>
      </c>
      <c r="I44">
        <v>0</v>
      </c>
      <c r="J44" t="s">
        <v>27</v>
      </c>
      <c r="K44" t="s">
        <v>20</v>
      </c>
      <c r="L44" t="s">
        <v>19</v>
      </c>
      <c r="M44" t="s">
        <v>20</v>
      </c>
      <c r="N44" t="s">
        <v>19</v>
      </c>
      <c r="O44" t="s">
        <v>23</v>
      </c>
    </row>
    <row r="45" spans="1:15" x14ac:dyDescent="0.25">
      <c r="A45" t="s">
        <v>76</v>
      </c>
      <c r="B45">
        <v>18</v>
      </c>
      <c r="C45" t="s">
        <v>17</v>
      </c>
      <c r="D45" t="s">
        <v>26</v>
      </c>
      <c r="E45" s="1">
        <v>0.5</v>
      </c>
      <c r="F45" t="s">
        <v>20</v>
      </c>
      <c r="G45" t="s">
        <v>20</v>
      </c>
      <c r="H45" t="s">
        <v>30</v>
      </c>
      <c r="I45">
        <v>0</v>
      </c>
      <c r="J45" t="s">
        <v>22</v>
      </c>
      <c r="K45" t="s">
        <v>19</v>
      </c>
      <c r="L45" t="s">
        <v>20</v>
      </c>
      <c r="M45" t="s">
        <v>19</v>
      </c>
      <c r="N45" t="s">
        <v>20</v>
      </c>
      <c r="O45" t="s">
        <v>77</v>
      </c>
    </row>
    <row r="46" spans="1:15" x14ac:dyDescent="0.25">
      <c r="A46" t="s">
        <v>78</v>
      </c>
      <c r="B46" t="s">
        <v>16</v>
      </c>
      <c r="C46" t="s">
        <v>17</v>
      </c>
      <c r="D46" t="s">
        <v>18</v>
      </c>
      <c r="E46" s="1">
        <v>0.5</v>
      </c>
      <c r="F46" t="s">
        <v>20</v>
      </c>
      <c r="G46" t="s">
        <v>20</v>
      </c>
      <c r="H46" t="s">
        <v>30</v>
      </c>
      <c r="I46">
        <v>0</v>
      </c>
      <c r="J46" t="s">
        <v>22</v>
      </c>
      <c r="K46" t="s">
        <v>19</v>
      </c>
      <c r="L46" t="s">
        <v>19</v>
      </c>
      <c r="M46" t="s">
        <v>19</v>
      </c>
      <c r="N46" t="s">
        <v>19</v>
      </c>
      <c r="O46" t="s">
        <v>23</v>
      </c>
    </row>
    <row r="47" spans="1:15" x14ac:dyDescent="0.25">
      <c r="A47" t="s">
        <v>79</v>
      </c>
      <c r="B47">
        <v>18</v>
      </c>
      <c r="C47" t="s">
        <v>17</v>
      </c>
      <c r="D47" t="s">
        <v>26</v>
      </c>
      <c r="E47" s="1">
        <v>0.5</v>
      </c>
      <c r="F47" t="s">
        <v>20</v>
      </c>
      <c r="G47" t="s">
        <v>20</v>
      </c>
      <c r="H47" t="s">
        <v>30</v>
      </c>
      <c r="I47">
        <v>8</v>
      </c>
      <c r="J47" t="s">
        <v>22</v>
      </c>
      <c r="K47" t="s">
        <v>19</v>
      </c>
      <c r="L47" t="s">
        <v>20</v>
      </c>
      <c r="M47" t="s">
        <v>19</v>
      </c>
      <c r="N47" t="s">
        <v>20</v>
      </c>
      <c r="O47" t="s">
        <v>52</v>
      </c>
    </row>
    <row r="48" spans="1:15" x14ac:dyDescent="0.25">
      <c r="A48" t="s">
        <v>80</v>
      </c>
      <c r="B48" t="s">
        <v>16</v>
      </c>
      <c r="C48" t="s">
        <v>17</v>
      </c>
      <c r="D48" t="s">
        <v>26</v>
      </c>
      <c r="E48" s="1">
        <v>0.5</v>
      </c>
      <c r="F48" t="s">
        <v>20</v>
      </c>
      <c r="G48" t="s">
        <v>20</v>
      </c>
      <c r="H48" t="s">
        <v>30</v>
      </c>
      <c r="I48">
        <v>0</v>
      </c>
      <c r="J48" t="s">
        <v>22</v>
      </c>
      <c r="K48" t="s">
        <v>19</v>
      </c>
      <c r="L48" t="s">
        <v>19</v>
      </c>
      <c r="M48" t="s">
        <v>20</v>
      </c>
      <c r="N48" t="s">
        <v>20</v>
      </c>
      <c r="O48" t="s">
        <v>35</v>
      </c>
    </row>
    <row r="49" spans="1:15" x14ac:dyDescent="0.25">
      <c r="A49" t="s">
        <v>81</v>
      </c>
      <c r="B49" t="s">
        <v>16</v>
      </c>
      <c r="C49" t="s">
        <v>17</v>
      </c>
      <c r="D49" t="s">
        <v>26</v>
      </c>
      <c r="E49" s="1">
        <v>0.5</v>
      </c>
      <c r="F49" t="s">
        <v>20</v>
      </c>
      <c r="G49" t="s">
        <v>20</v>
      </c>
      <c r="H49" t="s">
        <v>30</v>
      </c>
      <c r="I49">
        <v>0</v>
      </c>
      <c r="J49" t="s">
        <v>22</v>
      </c>
      <c r="K49" t="s">
        <v>20</v>
      </c>
      <c r="L49" t="s">
        <v>19</v>
      </c>
      <c r="M49" t="s">
        <v>19</v>
      </c>
      <c r="N49" t="s">
        <v>19</v>
      </c>
      <c r="O49" t="s">
        <v>52</v>
      </c>
    </row>
    <row r="50" spans="1:15" x14ac:dyDescent="0.25">
      <c r="A50" t="s">
        <v>82</v>
      </c>
      <c r="B50">
        <v>18</v>
      </c>
      <c r="C50" t="s">
        <v>17</v>
      </c>
      <c r="D50" t="s">
        <v>26</v>
      </c>
      <c r="E50" s="1">
        <v>0.5</v>
      </c>
      <c r="F50" t="s">
        <v>20</v>
      </c>
      <c r="G50" t="s">
        <v>19</v>
      </c>
      <c r="H50" t="s">
        <v>30</v>
      </c>
      <c r="I50">
        <v>0</v>
      </c>
      <c r="J50" t="s">
        <v>22</v>
      </c>
      <c r="K50" t="s">
        <v>20</v>
      </c>
      <c r="L50" t="s">
        <v>20</v>
      </c>
      <c r="M50" t="s">
        <v>19</v>
      </c>
      <c r="N50" t="s">
        <v>20</v>
      </c>
      <c r="O50" t="s">
        <v>23</v>
      </c>
    </row>
    <row r="51" spans="1:15" x14ac:dyDescent="0.25">
      <c r="A51" t="s">
        <v>83</v>
      </c>
      <c r="B51">
        <v>18</v>
      </c>
      <c r="C51" t="s">
        <v>17</v>
      </c>
      <c r="D51" t="s">
        <v>21</v>
      </c>
      <c r="E51" s="1">
        <v>0.75</v>
      </c>
      <c r="F51" t="s">
        <v>20</v>
      </c>
      <c r="G51" t="s">
        <v>20</v>
      </c>
      <c r="H51" t="s">
        <v>21</v>
      </c>
      <c r="I51">
        <v>2</v>
      </c>
      <c r="J51" t="s">
        <v>27</v>
      </c>
      <c r="K51" t="s">
        <v>19</v>
      </c>
      <c r="L51" t="s">
        <v>20</v>
      </c>
      <c r="M51" t="s">
        <v>19</v>
      </c>
      <c r="N51" t="s">
        <v>19</v>
      </c>
      <c r="O51" t="s">
        <v>33</v>
      </c>
    </row>
    <row r="52" spans="1:15" x14ac:dyDescent="0.25">
      <c r="A52" t="s">
        <v>84</v>
      </c>
      <c r="B52" t="s">
        <v>16</v>
      </c>
      <c r="C52" t="s">
        <v>17</v>
      </c>
      <c r="D52" t="s">
        <v>26</v>
      </c>
      <c r="E52" s="1">
        <v>0.5</v>
      </c>
      <c r="F52" t="s">
        <v>20</v>
      </c>
      <c r="G52" t="s">
        <v>20</v>
      </c>
      <c r="H52" t="s">
        <v>30</v>
      </c>
      <c r="I52">
        <v>2</v>
      </c>
      <c r="J52" t="s">
        <v>37</v>
      </c>
      <c r="K52" t="s">
        <v>19</v>
      </c>
      <c r="L52" t="s">
        <v>19</v>
      </c>
      <c r="M52" t="s">
        <v>19</v>
      </c>
      <c r="N52" t="s">
        <v>19</v>
      </c>
      <c r="O52" t="s">
        <v>23</v>
      </c>
    </row>
    <row r="53" spans="1:15" x14ac:dyDescent="0.25">
      <c r="A53" t="s">
        <v>85</v>
      </c>
      <c r="B53" t="s">
        <v>16</v>
      </c>
      <c r="C53" t="s">
        <v>29</v>
      </c>
      <c r="D53" t="s">
        <v>18</v>
      </c>
      <c r="E53" s="1">
        <v>0.5</v>
      </c>
      <c r="F53" t="s">
        <v>19</v>
      </c>
      <c r="G53" t="s">
        <v>19</v>
      </c>
      <c r="H53" t="s">
        <v>21</v>
      </c>
      <c r="I53">
        <v>0</v>
      </c>
      <c r="J53" t="s">
        <v>22</v>
      </c>
      <c r="K53" t="s">
        <v>19</v>
      </c>
      <c r="L53" t="s">
        <v>19</v>
      </c>
      <c r="M53" t="s">
        <v>20</v>
      </c>
      <c r="N53" t="s">
        <v>20</v>
      </c>
      <c r="O53" t="s">
        <v>77</v>
      </c>
    </row>
    <row r="54" spans="1:15" x14ac:dyDescent="0.25">
      <c r="A54" t="s">
        <v>86</v>
      </c>
      <c r="B54" t="s">
        <v>16</v>
      </c>
      <c r="C54" t="s">
        <v>29</v>
      </c>
      <c r="D54" t="s">
        <v>26</v>
      </c>
      <c r="E54" s="1">
        <v>0.5</v>
      </c>
      <c r="F54" t="s">
        <v>19</v>
      </c>
      <c r="G54" t="s">
        <v>20</v>
      </c>
      <c r="H54" t="s">
        <v>21</v>
      </c>
      <c r="I54">
        <v>2</v>
      </c>
      <c r="J54" t="s">
        <v>22</v>
      </c>
      <c r="K54" t="s">
        <v>19</v>
      </c>
      <c r="L54" t="s">
        <v>19</v>
      </c>
      <c r="M54" t="s">
        <v>19</v>
      </c>
      <c r="N54" t="s">
        <v>20</v>
      </c>
      <c r="O54" t="s">
        <v>23</v>
      </c>
    </row>
    <row r="55" spans="1:15" x14ac:dyDescent="0.25">
      <c r="A55" t="s">
        <v>87</v>
      </c>
      <c r="B55" t="s">
        <v>16</v>
      </c>
      <c r="C55" t="s">
        <v>29</v>
      </c>
      <c r="D55" t="s">
        <v>26</v>
      </c>
      <c r="E55" s="1">
        <v>0.5</v>
      </c>
      <c r="F55" t="s">
        <v>20</v>
      </c>
      <c r="G55" t="s">
        <v>19</v>
      </c>
      <c r="H55" t="s">
        <v>21</v>
      </c>
      <c r="I55">
        <v>2</v>
      </c>
      <c r="J55" t="s">
        <v>22</v>
      </c>
      <c r="K55" t="s">
        <v>19</v>
      </c>
      <c r="L55" t="s">
        <v>19</v>
      </c>
      <c r="M55" t="s">
        <v>19</v>
      </c>
      <c r="N55" t="s">
        <v>20</v>
      </c>
      <c r="O55" t="s">
        <v>35</v>
      </c>
    </row>
    <row r="56" spans="1:15" x14ac:dyDescent="0.25">
      <c r="A56" t="s">
        <v>88</v>
      </c>
      <c r="B56" t="s">
        <v>16</v>
      </c>
      <c r="C56" t="s">
        <v>17</v>
      </c>
      <c r="D56" t="s">
        <v>26</v>
      </c>
      <c r="E56" s="1">
        <v>0.5</v>
      </c>
      <c r="F56" t="s">
        <v>20</v>
      </c>
      <c r="G56" t="s">
        <v>20</v>
      </c>
      <c r="H56" t="s">
        <v>21</v>
      </c>
      <c r="I56">
        <v>12</v>
      </c>
      <c r="J56" t="s">
        <v>27</v>
      </c>
      <c r="K56" t="s">
        <v>20</v>
      </c>
      <c r="L56" t="s">
        <v>19</v>
      </c>
      <c r="M56" t="s">
        <v>20</v>
      </c>
      <c r="N56" t="s">
        <v>19</v>
      </c>
      <c r="O56" t="s">
        <v>52</v>
      </c>
    </row>
    <row r="57" spans="1:15" x14ac:dyDescent="0.25">
      <c r="A57" t="s">
        <v>89</v>
      </c>
      <c r="B57" t="s">
        <v>46</v>
      </c>
      <c r="C57" t="s">
        <v>17</v>
      </c>
      <c r="D57" t="s">
        <v>26</v>
      </c>
      <c r="E57" s="1">
        <v>0.5</v>
      </c>
      <c r="F57" t="s">
        <v>19</v>
      </c>
      <c r="G57" t="s">
        <v>20</v>
      </c>
      <c r="H57" t="s">
        <v>30</v>
      </c>
      <c r="I57">
        <v>8</v>
      </c>
      <c r="J57" t="s">
        <v>22</v>
      </c>
      <c r="K57" t="s">
        <v>20</v>
      </c>
      <c r="L57" t="s">
        <v>19</v>
      </c>
      <c r="M57" t="s">
        <v>19</v>
      </c>
      <c r="N57" t="s">
        <v>20</v>
      </c>
      <c r="O57" t="s">
        <v>52</v>
      </c>
    </row>
    <row r="58" spans="1:15" x14ac:dyDescent="0.25">
      <c r="A58" t="s">
        <v>90</v>
      </c>
      <c r="B58" t="s">
        <v>16</v>
      </c>
      <c r="C58" t="s">
        <v>17</v>
      </c>
      <c r="D58" t="s">
        <v>26</v>
      </c>
      <c r="E58" s="1">
        <v>0.5</v>
      </c>
      <c r="F58" t="s">
        <v>20</v>
      </c>
      <c r="G58" t="s">
        <v>19</v>
      </c>
      <c r="H58" t="s">
        <v>21</v>
      </c>
      <c r="I58">
        <v>0</v>
      </c>
      <c r="J58" t="s">
        <v>22</v>
      </c>
      <c r="K58" t="s">
        <v>19</v>
      </c>
      <c r="L58" t="s">
        <v>19</v>
      </c>
      <c r="M58" t="s">
        <v>19</v>
      </c>
      <c r="N58" t="s">
        <v>20</v>
      </c>
      <c r="O58" t="s">
        <v>35</v>
      </c>
    </row>
    <row r="59" spans="1:15" x14ac:dyDescent="0.25">
      <c r="A59" t="s">
        <v>91</v>
      </c>
      <c r="B59" t="s">
        <v>16</v>
      </c>
      <c r="C59" t="s">
        <v>17</v>
      </c>
      <c r="D59" t="s">
        <v>26</v>
      </c>
      <c r="E59" s="1">
        <v>0.5</v>
      </c>
      <c r="F59" t="s">
        <v>19</v>
      </c>
      <c r="G59" t="s">
        <v>19</v>
      </c>
      <c r="H59" t="s">
        <v>21</v>
      </c>
      <c r="I59">
        <v>0</v>
      </c>
      <c r="J59" t="s">
        <v>22</v>
      </c>
      <c r="K59" t="s">
        <v>19</v>
      </c>
      <c r="L59" t="s">
        <v>19</v>
      </c>
      <c r="M59" t="s">
        <v>20</v>
      </c>
      <c r="N59" t="s">
        <v>20</v>
      </c>
      <c r="O59" t="s">
        <v>77</v>
      </c>
    </row>
    <row r="60" spans="1:15" x14ac:dyDescent="0.25">
      <c r="A60" t="s">
        <v>92</v>
      </c>
      <c r="B60" t="s">
        <v>46</v>
      </c>
      <c r="C60" t="s">
        <v>17</v>
      </c>
      <c r="D60" t="s">
        <v>26</v>
      </c>
      <c r="E60" s="1">
        <v>0.5</v>
      </c>
      <c r="F60" t="s">
        <v>20</v>
      </c>
      <c r="G60" t="s">
        <v>20</v>
      </c>
      <c r="H60" t="s">
        <v>30</v>
      </c>
      <c r="I60">
        <v>12</v>
      </c>
      <c r="J60" t="s">
        <v>22</v>
      </c>
      <c r="K60" t="s">
        <v>19</v>
      </c>
      <c r="L60" t="s">
        <v>19</v>
      </c>
      <c r="M60" t="s">
        <v>19</v>
      </c>
      <c r="N60" t="s">
        <v>20</v>
      </c>
      <c r="O60" t="s">
        <v>52</v>
      </c>
    </row>
    <row r="61" spans="1:15" x14ac:dyDescent="0.25">
      <c r="A61" t="s">
        <v>93</v>
      </c>
      <c r="B61" t="s">
        <v>16</v>
      </c>
      <c r="C61" t="s">
        <v>17</v>
      </c>
      <c r="D61" t="s">
        <v>26</v>
      </c>
      <c r="E61" s="1">
        <v>0.5</v>
      </c>
      <c r="F61" t="s">
        <v>20</v>
      </c>
      <c r="G61" t="s">
        <v>19</v>
      </c>
      <c r="H61" t="s">
        <v>30</v>
      </c>
      <c r="I61">
        <v>0</v>
      </c>
      <c r="J61" t="s">
        <v>22</v>
      </c>
      <c r="K61" t="s">
        <v>19</v>
      </c>
      <c r="L61" t="s">
        <v>19</v>
      </c>
      <c r="M61" t="s">
        <v>20</v>
      </c>
      <c r="N61" t="s">
        <v>20</v>
      </c>
      <c r="O61" t="s">
        <v>35</v>
      </c>
    </row>
    <row r="62" spans="1:15" x14ac:dyDescent="0.25">
      <c r="A62" t="s">
        <v>94</v>
      </c>
      <c r="B62" t="s">
        <v>16</v>
      </c>
      <c r="C62" t="s">
        <v>29</v>
      </c>
      <c r="D62" t="s">
        <v>26</v>
      </c>
      <c r="E62" s="1">
        <v>0.5</v>
      </c>
      <c r="F62" t="s">
        <v>20</v>
      </c>
      <c r="G62" t="s">
        <v>20</v>
      </c>
      <c r="H62" t="s">
        <v>21</v>
      </c>
      <c r="I62">
        <v>12</v>
      </c>
      <c r="J62" t="s">
        <v>37</v>
      </c>
      <c r="K62" t="s">
        <v>19</v>
      </c>
      <c r="L62">
        <v>6</v>
      </c>
      <c r="M62" t="s">
        <v>19</v>
      </c>
      <c r="N62" t="s">
        <v>20</v>
      </c>
      <c r="O62" t="s">
        <v>33</v>
      </c>
    </row>
    <row r="63" spans="1:15" x14ac:dyDescent="0.25">
      <c r="A63" t="s">
        <v>95</v>
      </c>
      <c r="B63">
        <v>18</v>
      </c>
      <c r="C63" t="s">
        <v>17</v>
      </c>
      <c r="D63" t="s">
        <v>18</v>
      </c>
      <c r="E63" s="1">
        <v>0.5</v>
      </c>
      <c r="F63" t="s">
        <v>20</v>
      </c>
      <c r="G63" t="s">
        <v>19</v>
      </c>
      <c r="H63" t="s">
        <v>21</v>
      </c>
      <c r="I63">
        <v>2</v>
      </c>
      <c r="J63" t="s">
        <v>22</v>
      </c>
      <c r="K63" t="s">
        <v>20</v>
      </c>
      <c r="L63" t="s">
        <v>19</v>
      </c>
      <c r="M63" t="s">
        <v>19</v>
      </c>
      <c r="N63" t="s">
        <v>20</v>
      </c>
      <c r="O63" t="s">
        <v>35</v>
      </c>
    </row>
    <row r="64" spans="1:15" x14ac:dyDescent="0.25">
      <c r="A64" t="s">
        <v>96</v>
      </c>
      <c r="B64" t="s">
        <v>16</v>
      </c>
      <c r="C64" t="s">
        <v>17</v>
      </c>
      <c r="D64" t="s">
        <v>26</v>
      </c>
      <c r="E64" s="1">
        <v>0.5</v>
      </c>
      <c r="F64" t="s">
        <v>20</v>
      </c>
      <c r="G64" t="s">
        <v>20</v>
      </c>
      <c r="H64" t="s">
        <v>21</v>
      </c>
      <c r="I64">
        <v>0</v>
      </c>
      <c r="J64" t="s">
        <v>27</v>
      </c>
      <c r="K64" t="s">
        <v>20</v>
      </c>
      <c r="L64" t="s">
        <v>20</v>
      </c>
      <c r="M64" t="s">
        <v>19</v>
      </c>
      <c r="N64" t="s">
        <v>19</v>
      </c>
      <c r="O64" t="s">
        <v>52</v>
      </c>
    </row>
    <row r="65" spans="1:15" x14ac:dyDescent="0.25">
      <c r="A65" t="s">
        <v>97</v>
      </c>
      <c r="B65" t="s">
        <v>16</v>
      </c>
      <c r="C65" t="s">
        <v>17</v>
      </c>
      <c r="D65" t="s">
        <v>26</v>
      </c>
      <c r="E65" s="1">
        <v>0.75</v>
      </c>
      <c r="F65" t="s">
        <v>20</v>
      </c>
      <c r="G65" t="s">
        <v>20</v>
      </c>
      <c r="H65" t="s">
        <v>30</v>
      </c>
      <c r="I65">
        <v>2</v>
      </c>
      <c r="J65" t="s">
        <v>22</v>
      </c>
      <c r="K65" t="s">
        <v>19</v>
      </c>
      <c r="L65" t="s">
        <v>19</v>
      </c>
      <c r="M65" t="s">
        <v>19</v>
      </c>
      <c r="N65" t="s">
        <v>20</v>
      </c>
      <c r="O65" t="s">
        <v>35</v>
      </c>
    </row>
    <row r="66" spans="1:15" x14ac:dyDescent="0.25">
      <c r="A66" t="s">
        <v>98</v>
      </c>
      <c r="B66" t="s">
        <v>16</v>
      </c>
      <c r="C66" t="s">
        <v>17</v>
      </c>
      <c r="D66" t="s">
        <v>18</v>
      </c>
      <c r="E66" s="1">
        <v>1</v>
      </c>
      <c r="F66" t="s">
        <v>20</v>
      </c>
      <c r="G66" t="s">
        <v>20</v>
      </c>
      <c r="H66" t="s">
        <v>21</v>
      </c>
      <c r="I66">
        <v>0</v>
      </c>
      <c r="J66" t="s">
        <v>22</v>
      </c>
      <c r="K66" t="s">
        <v>19</v>
      </c>
      <c r="L66" t="s">
        <v>20</v>
      </c>
      <c r="M66" t="s">
        <v>20</v>
      </c>
      <c r="N66" t="s">
        <v>19</v>
      </c>
      <c r="O66" t="s">
        <v>52</v>
      </c>
    </row>
    <row r="67" spans="1:15" x14ac:dyDescent="0.25">
      <c r="A67" t="s">
        <v>99</v>
      </c>
      <c r="B67">
        <v>18</v>
      </c>
      <c r="C67" t="s">
        <v>17</v>
      </c>
      <c r="D67" t="s">
        <v>26</v>
      </c>
      <c r="E67" s="1">
        <v>0.5</v>
      </c>
      <c r="F67" t="s">
        <v>20</v>
      </c>
      <c r="G67" t="s">
        <v>20</v>
      </c>
      <c r="H67" t="s">
        <v>30</v>
      </c>
      <c r="I67">
        <v>12</v>
      </c>
      <c r="J67" t="s">
        <v>22</v>
      </c>
      <c r="K67" t="s">
        <v>19</v>
      </c>
      <c r="L67" t="s">
        <v>20</v>
      </c>
      <c r="M67" t="s">
        <v>20</v>
      </c>
      <c r="N67" t="s">
        <v>20</v>
      </c>
      <c r="O67" t="s">
        <v>33</v>
      </c>
    </row>
    <row r="68" spans="1:15" x14ac:dyDescent="0.25">
      <c r="A68" t="s">
        <v>100</v>
      </c>
      <c r="B68" t="s">
        <v>16</v>
      </c>
      <c r="C68" t="s">
        <v>17</v>
      </c>
      <c r="D68" t="s">
        <v>26</v>
      </c>
      <c r="E68" s="1">
        <v>0.5</v>
      </c>
      <c r="F68" t="s">
        <v>20</v>
      </c>
      <c r="G68" t="s">
        <v>20</v>
      </c>
      <c r="H68" t="s">
        <v>30</v>
      </c>
      <c r="I68">
        <v>0</v>
      </c>
      <c r="J68" t="s">
        <v>22</v>
      </c>
      <c r="K68" t="s">
        <v>19</v>
      </c>
      <c r="L68" t="s">
        <v>20</v>
      </c>
      <c r="M68" t="s">
        <v>20</v>
      </c>
      <c r="N68" t="s">
        <v>20</v>
      </c>
      <c r="O68" t="s">
        <v>35</v>
      </c>
    </row>
    <row r="69" spans="1:15" x14ac:dyDescent="0.25">
      <c r="A69" t="s">
        <v>101</v>
      </c>
      <c r="B69" t="s">
        <v>16</v>
      </c>
      <c r="C69" t="s">
        <v>17</v>
      </c>
      <c r="D69" t="s">
        <v>18</v>
      </c>
      <c r="E69" s="1">
        <v>0.5</v>
      </c>
      <c r="F69" t="s">
        <v>19</v>
      </c>
      <c r="G69" t="s">
        <v>19</v>
      </c>
      <c r="H69" t="s">
        <v>21</v>
      </c>
      <c r="I69">
        <v>12</v>
      </c>
      <c r="J69" t="s">
        <v>22</v>
      </c>
      <c r="K69" t="s">
        <v>20</v>
      </c>
      <c r="L69" t="s">
        <v>20</v>
      </c>
      <c r="M69" t="s">
        <v>20</v>
      </c>
      <c r="N69" t="s">
        <v>20</v>
      </c>
      <c r="O69" t="s">
        <v>23</v>
      </c>
    </row>
    <row r="70" spans="1:15" x14ac:dyDescent="0.25">
      <c r="A70" t="s">
        <v>102</v>
      </c>
      <c r="B70" t="s">
        <v>16</v>
      </c>
      <c r="C70" t="s">
        <v>29</v>
      </c>
      <c r="D70" t="s">
        <v>26</v>
      </c>
      <c r="E70" s="1">
        <v>0.75</v>
      </c>
      <c r="F70" t="s">
        <v>19</v>
      </c>
      <c r="G70" t="s">
        <v>20</v>
      </c>
      <c r="H70" t="s">
        <v>21</v>
      </c>
      <c r="I70">
        <v>0</v>
      </c>
      <c r="J70" t="s">
        <v>22</v>
      </c>
      <c r="K70" t="s">
        <v>19</v>
      </c>
      <c r="L70" t="s">
        <v>20</v>
      </c>
      <c r="M70" t="s">
        <v>19</v>
      </c>
      <c r="N70" t="s">
        <v>20</v>
      </c>
      <c r="O70" t="s">
        <v>35</v>
      </c>
    </row>
    <row r="71" spans="1:15" x14ac:dyDescent="0.25">
      <c r="A71" t="s">
        <v>103</v>
      </c>
      <c r="B71" t="s">
        <v>16</v>
      </c>
      <c r="C71" t="s">
        <v>29</v>
      </c>
      <c r="D71" t="s">
        <v>26</v>
      </c>
      <c r="E71" s="1">
        <v>0.75</v>
      </c>
      <c r="F71" t="s">
        <v>20</v>
      </c>
      <c r="G71" t="s">
        <v>20</v>
      </c>
      <c r="H71" t="s">
        <v>30</v>
      </c>
      <c r="I71">
        <v>0</v>
      </c>
      <c r="J71" t="s">
        <v>22</v>
      </c>
      <c r="K71" t="s">
        <v>19</v>
      </c>
      <c r="L71" t="s">
        <v>20</v>
      </c>
      <c r="M71" t="s">
        <v>20</v>
      </c>
      <c r="N71" t="s">
        <v>19</v>
      </c>
      <c r="O71" t="s">
        <v>35</v>
      </c>
    </row>
    <row r="72" spans="1:15" x14ac:dyDescent="0.25">
      <c r="A72" t="s">
        <v>104</v>
      </c>
      <c r="B72">
        <v>18</v>
      </c>
      <c r="C72" t="s">
        <v>17</v>
      </c>
      <c r="D72" t="s">
        <v>26</v>
      </c>
      <c r="E72" s="1">
        <v>0.75</v>
      </c>
      <c r="F72" t="s">
        <v>20</v>
      </c>
      <c r="G72" t="s">
        <v>19</v>
      </c>
      <c r="H72" t="s">
        <v>30</v>
      </c>
      <c r="I72">
        <v>0</v>
      </c>
      <c r="J72" t="s">
        <v>22</v>
      </c>
      <c r="K72" t="s">
        <v>19</v>
      </c>
      <c r="L72" t="s">
        <v>19</v>
      </c>
      <c r="M72" t="s">
        <v>19</v>
      </c>
      <c r="N72" t="s">
        <v>19</v>
      </c>
      <c r="O72" t="s">
        <v>105</v>
      </c>
    </row>
    <row r="73" spans="1:15" x14ac:dyDescent="0.25">
      <c r="A73" t="s">
        <v>106</v>
      </c>
      <c r="B73">
        <v>18</v>
      </c>
      <c r="C73" t="s">
        <v>29</v>
      </c>
      <c r="D73" t="s">
        <v>18</v>
      </c>
      <c r="E73" s="1">
        <v>0.75</v>
      </c>
      <c r="F73" t="s">
        <v>20</v>
      </c>
      <c r="G73" t="s">
        <v>20</v>
      </c>
      <c r="H73" t="s">
        <v>21</v>
      </c>
      <c r="I73">
        <v>0</v>
      </c>
      <c r="J73" t="s">
        <v>22</v>
      </c>
      <c r="K73" t="s">
        <v>20</v>
      </c>
      <c r="L73" t="s">
        <v>19</v>
      </c>
      <c r="M73" t="s">
        <v>19</v>
      </c>
      <c r="N73" t="s">
        <v>20</v>
      </c>
      <c r="O73" t="s">
        <v>107</v>
      </c>
    </row>
    <row r="74" spans="1:15" x14ac:dyDescent="0.25">
      <c r="A74" t="s">
        <v>108</v>
      </c>
      <c r="B74">
        <v>18</v>
      </c>
      <c r="C74" t="s">
        <v>17</v>
      </c>
      <c r="D74" t="s">
        <v>26</v>
      </c>
      <c r="E74" s="1">
        <v>0.5</v>
      </c>
      <c r="F74" t="s">
        <v>20</v>
      </c>
      <c r="G74" t="s">
        <v>19</v>
      </c>
      <c r="H74" t="s">
        <v>30</v>
      </c>
      <c r="I74">
        <v>0</v>
      </c>
      <c r="J74" t="s">
        <v>22</v>
      </c>
      <c r="K74" t="s">
        <v>20</v>
      </c>
      <c r="L74" t="s">
        <v>19</v>
      </c>
      <c r="M74" t="s">
        <v>19</v>
      </c>
      <c r="N74" t="s">
        <v>19</v>
      </c>
      <c r="O74" t="s">
        <v>107</v>
      </c>
    </row>
    <row r="75" spans="1:15" x14ac:dyDescent="0.25">
      <c r="A75" t="s">
        <v>109</v>
      </c>
      <c r="B75" t="s">
        <v>16</v>
      </c>
      <c r="C75" t="s">
        <v>17</v>
      </c>
      <c r="D75" t="s">
        <v>26</v>
      </c>
      <c r="E75" s="1">
        <v>0.75</v>
      </c>
      <c r="F75" t="s">
        <v>20</v>
      </c>
      <c r="G75" t="s">
        <v>20</v>
      </c>
      <c r="H75" t="s">
        <v>21</v>
      </c>
      <c r="I75">
        <v>0</v>
      </c>
      <c r="J75" t="s">
        <v>22</v>
      </c>
      <c r="K75" t="s">
        <v>20</v>
      </c>
      <c r="L75" t="s">
        <v>19</v>
      </c>
      <c r="M75" t="s">
        <v>19</v>
      </c>
      <c r="N75" t="s">
        <v>20</v>
      </c>
      <c r="O75" t="s">
        <v>107</v>
      </c>
    </row>
    <row r="76" spans="1:15" x14ac:dyDescent="0.25">
      <c r="A76" t="s">
        <v>110</v>
      </c>
      <c r="B76">
        <v>18</v>
      </c>
      <c r="C76" t="s">
        <v>17</v>
      </c>
      <c r="D76" t="s">
        <v>26</v>
      </c>
      <c r="E76" s="1">
        <v>0.75</v>
      </c>
      <c r="F76" t="s">
        <v>20</v>
      </c>
      <c r="G76" t="s">
        <v>20</v>
      </c>
      <c r="H76" t="s">
        <v>21</v>
      </c>
      <c r="I76">
        <v>0</v>
      </c>
      <c r="J76" t="s">
        <v>22</v>
      </c>
      <c r="K76" t="s">
        <v>19</v>
      </c>
      <c r="L76" t="s">
        <v>20</v>
      </c>
      <c r="M76" t="s">
        <v>20</v>
      </c>
      <c r="N76" t="s">
        <v>20</v>
      </c>
      <c r="O76" t="s">
        <v>105</v>
      </c>
    </row>
    <row r="77" spans="1:15" x14ac:dyDescent="0.25">
      <c r="A77" t="s">
        <v>111</v>
      </c>
      <c r="B77">
        <v>18</v>
      </c>
      <c r="C77" t="s">
        <v>17</v>
      </c>
      <c r="D77" t="s">
        <v>26</v>
      </c>
      <c r="E77" s="1">
        <v>0.75</v>
      </c>
      <c r="F77" t="s">
        <v>20</v>
      </c>
      <c r="G77" t="s">
        <v>19</v>
      </c>
      <c r="H77" t="s">
        <v>21</v>
      </c>
      <c r="I77">
        <v>0</v>
      </c>
      <c r="J77" t="s">
        <v>22</v>
      </c>
      <c r="K77" t="s">
        <v>20</v>
      </c>
      <c r="L77" t="s">
        <v>19</v>
      </c>
      <c r="M77" t="s">
        <v>20</v>
      </c>
      <c r="N77" t="s">
        <v>20</v>
      </c>
      <c r="O77" t="s">
        <v>105</v>
      </c>
    </row>
    <row r="78" spans="1:15" x14ac:dyDescent="0.25">
      <c r="A78" t="s">
        <v>112</v>
      </c>
      <c r="B78" t="s">
        <v>16</v>
      </c>
      <c r="C78" t="s">
        <v>17</v>
      </c>
      <c r="D78" t="s">
        <v>21</v>
      </c>
      <c r="E78" s="1">
        <v>0.25</v>
      </c>
      <c r="F78" t="s">
        <v>20</v>
      </c>
      <c r="G78" t="s">
        <v>19</v>
      </c>
      <c r="H78" t="s">
        <v>21</v>
      </c>
      <c r="I78">
        <v>2</v>
      </c>
      <c r="J78" t="s">
        <v>22</v>
      </c>
      <c r="K78" t="s">
        <v>19</v>
      </c>
      <c r="L78" t="s">
        <v>19</v>
      </c>
      <c r="M78" t="s">
        <v>20</v>
      </c>
      <c r="N78" t="s">
        <v>20</v>
      </c>
      <c r="O78" t="s">
        <v>77</v>
      </c>
    </row>
    <row r="79" spans="1:15" x14ac:dyDescent="0.25">
      <c r="A79" t="s">
        <v>113</v>
      </c>
      <c r="B79">
        <v>18</v>
      </c>
      <c r="C79" t="s">
        <v>17</v>
      </c>
      <c r="D79" t="s">
        <v>21</v>
      </c>
      <c r="E79" s="1">
        <v>0.25</v>
      </c>
      <c r="F79" t="s">
        <v>20</v>
      </c>
      <c r="G79" t="s">
        <v>20</v>
      </c>
      <c r="H79" t="s">
        <v>30</v>
      </c>
      <c r="I79">
        <v>2</v>
      </c>
      <c r="J79" t="s">
        <v>37</v>
      </c>
      <c r="K79" t="s">
        <v>20</v>
      </c>
      <c r="L79">
        <v>6</v>
      </c>
      <c r="M79" t="s">
        <v>20</v>
      </c>
      <c r="N79" t="s">
        <v>19</v>
      </c>
      <c r="O79" t="s">
        <v>105</v>
      </c>
    </row>
    <row r="80" spans="1:15" x14ac:dyDescent="0.25">
      <c r="A80" t="s">
        <v>114</v>
      </c>
      <c r="B80" t="s">
        <v>16</v>
      </c>
      <c r="C80" t="s">
        <v>29</v>
      </c>
      <c r="D80" t="s">
        <v>26</v>
      </c>
      <c r="E80" s="1">
        <v>0.75</v>
      </c>
      <c r="F80" t="s">
        <v>19</v>
      </c>
      <c r="G80" t="s">
        <v>19</v>
      </c>
      <c r="H80" t="s">
        <v>21</v>
      </c>
      <c r="I80">
        <v>0</v>
      </c>
      <c r="J80" t="s">
        <v>22</v>
      </c>
      <c r="K80" t="s">
        <v>19</v>
      </c>
      <c r="L80" t="s">
        <v>19</v>
      </c>
      <c r="M80" t="s">
        <v>19</v>
      </c>
      <c r="N80" t="s">
        <v>20</v>
      </c>
      <c r="O80" t="s">
        <v>77</v>
      </c>
    </row>
    <row r="81" spans="1:15" x14ac:dyDescent="0.25">
      <c r="A81" t="s">
        <v>115</v>
      </c>
      <c r="B81" t="s">
        <v>16</v>
      </c>
      <c r="C81" t="s">
        <v>17</v>
      </c>
      <c r="D81" t="s">
        <v>26</v>
      </c>
      <c r="E81" s="1">
        <v>0.75</v>
      </c>
      <c r="F81" t="s">
        <v>20</v>
      </c>
      <c r="G81" t="s">
        <v>20</v>
      </c>
      <c r="H81" t="s">
        <v>21</v>
      </c>
      <c r="I81">
        <v>0</v>
      </c>
      <c r="J81" t="s">
        <v>22</v>
      </c>
      <c r="K81" t="s">
        <v>19</v>
      </c>
      <c r="L81" t="s">
        <v>19</v>
      </c>
      <c r="M81" t="s">
        <v>19</v>
      </c>
      <c r="N81" t="s">
        <v>20</v>
      </c>
      <c r="O81" t="s">
        <v>52</v>
      </c>
    </row>
    <row r="82" spans="1:15" x14ac:dyDescent="0.25">
      <c r="A82" t="s">
        <v>116</v>
      </c>
      <c r="B82" t="s">
        <v>16</v>
      </c>
      <c r="C82" t="s">
        <v>29</v>
      </c>
      <c r="D82" t="s">
        <v>26</v>
      </c>
      <c r="E82" s="1">
        <v>0.5</v>
      </c>
      <c r="F82" t="s">
        <v>19</v>
      </c>
      <c r="G82" t="s">
        <v>20</v>
      </c>
      <c r="H82" t="s">
        <v>30</v>
      </c>
      <c r="I82">
        <v>0</v>
      </c>
      <c r="J82" t="s">
        <v>37</v>
      </c>
      <c r="K82" t="s">
        <v>19</v>
      </c>
      <c r="L82" t="s">
        <v>19</v>
      </c>
      <c r="M82" t="s">
        <v>19</v>
      </c>
      <c r="N82" t="s">
        <v>19</v>
      </c>
      <c r="O82" t="s">
        <v>77</v>
      </c>
    </row>
    <row r="83" spans="1:15" x14ac:dyDescent="0.25">
      <c r="A83" t="s">
        <v>117</v>
      </c>
      <c r="B83" t="s">
        <v>46</v>
      </c>
      <c r="C83" t="s">
        <v>17</v>
      </c>
      <c r="D83" t="s">
        <v>26</v>
      </c>
      <c r="E83" s="1">
        <v>0.5</v>
      </c>
      <c r="F83" t="s">
        <v>19</v>
      </c>
      <c r="G83" t="s">
        <v>20</v>
      </c>
      <c r="H83" t="s">
        <v>21</v>
      </c>
      <c r="I83">
        <v>0</v>
      </c>
      <c r="J83" t="s">
        <v>22</v>
      </c>
      <c r="K83" t="s">
        <v>20</v>
      </c>
      <c r="L83" t="s">
        <v>19</v>
      </c>
      <c r="M83" t="s">
        <v>20</v>
      </c>
      <c r="N83" t="s">
        <v>20</v>
      </c>
      <c r="O83" t="s">
        <v>52</v>
      </c>
    </row>
    <row r="84" spans="1:15" x14ac:dyDescent="0.25">
      <c r="A84" t="s">
        <v>118</v>
      </c>
      <c r="B84" t="s">
        <v>16</v>
      </c>
      <c r="C84" t="s">
        <v>17</v>
      </c>
      <c r="D84" t="s">
        <v>26</v>
      </c>
      <c r="E84" s="1">
        <v>0.75</v>
      </c>
      <c r="F84" t="s">
        <v>19</v>
      </c>
      <c r="G84" t="s">
        <v>20</v>
      </c>
      <c r="H84" t="s">
        <v>30</v>
      </c>
      <c r="I84">
        <v>2</v>
      </c>
      <c r="J84" t="s">
        <v>22</v>
      </c>
      <c r="K84" t="s">
        <v>19</v>
      </c>
      <c r="L84" t="s">
        <v>20</v>
      </c>
      <c r="M84" t="s">
        <v>19</v>
      </c>
      <c r="N84" t="s">
        <v>20</v>
      </c>
      <c r="O84" t="s">
        <v>105</v>
      </c>
    </row>
    <row r="85" spans="1:15" x14ac:dyDescent="0.25">
      <c r="A85" t="s">
        <v>119</v>
      </c>
      <c r="B85" t="s">
        <v>16</v>
      </c>
      <c r="C85" t="s">
        <v>17</v>
      </c>
      <c r="D85" t="s">
        <v>18</v>
      </c>
      <c r="E85" s="1">
        <v>0.5</v>
      </c>
      <c r="F85" t="s">
        <v>20</v>
      </c>
      <c r="G85" t="s">
        <v>20</v>
      </c>
      <c r="H85" t="s">
        <v>21</v>
      </c>
      <c r="I85">
        <v>12</v>
      </c>
      <c r="J85" t="s">
        <v>22</v>
      </c>
      <c r="K85" t="s">
        <v>19</v>
      </c>
      <c r="L85" t="s">
        <v>19</v>
      </c>
      <c r="M85" t="s">
        <v>20</v>
      </c>
      <c r="N85" t="s">
        <v>19</v>
      </c>
      <c r="O85" t="s">
        <v>105</v>
      </c>
    </row>
    <row r="86" spans="1:15" x14ac:dyDescent="0.25">
      <c r="A86" t="s">
        <v>120</v>
      </c>
      <c r="B86" t="s">
        <v>46</v>
      </c>
      <c r="C86" t="s">
        <v>17</v>
      </c>
      <c r="D86" t="s">
        <v>18</v>
      </c>
      <c r="E86" s="1">
        <v>0.5</v>
      </c>
      <c r="F86" t="s">
        <v>19</v>
      </c>
      <c r="G86" t="s">
        <v>20</v>
      </c>
      <c r="H86" t="s">
        <v>30</v>
      </c>
      <c r="I86">
        <v>12</v>
      </c>
      <c r="J86" t="s">
        <v>22</v>
      </c>
      <c r="K86" t="s">
        <v>20</v>
      </c>
      <c r="L86" t="s">
        <v>19</v>
      </c>
      <c r="M86" t="s">
        <v>20</v>
      </c>
      <c r="N86" t="s">
        <v>20</v>
      </c>
      <c r="O86" t="s">
        <v>105</v>
      </c>
    </row>
    <row r="87" spans="1:15" x14ac:dyDescent="0.25">
      <c r="A87" t="s">
        <v>121</v>
      </c>
      <c r="B87">
        <v>18</v>
      </c>
      <c r="C87" t="s">
        <v>17</v>
      </c>
      <c r="D87" t="s">
        <v>26</v>
      </c>
      <c r="E87" s="1">
        <v>1</v>
      </c>
      <c r="F87" t="s">
        <v>20</v>
      </c>
      <c r="G87" t="s">
        <v>20</v>
      </c>
      <c r="H87" t="s">
        <v>21</v>
      </c>
      <c r="I87">
        <v>2</v>
      </c>
      <c r="J87" t="s">
        <v>22</v>
      </c>
      <c r="K87" t="s">
        <v>19</v>
      </c>
      <c r="L87" t="s">
        <v>19</v>
      </c>
      <c r="M87" t="s">
        <v>19</v>
      </c>
      <c r="N87" t="s">
        <v>20</v>
      </c>
      <c r="O87" t="s">
        <v>77</v>
      </c>
    </row>
    <row r="88" spans="1:15" x14ac:dyDescent="0.25">
      <c r="A88" t="s">
        <v>122</v>
      </c>
      <c r="B88" t="s">
        <v>16</v>
      </c>
      <c r="C88" t="s">
        <v>17</v>
      </c>
      <c r="D88" t="s">
        <v>26</v>
      </c>
      <c r="E88" s="1">
        <v>0.75</v>
      </c>
      <c r="F88" t="s">
        <v>20</v>
      </c>
      <c r="G88" t="s">
        <v>20</v>
      </c>
      <c r="H88" t="s">
        <v>21</v>
      </c>
      <c r="I88">
        <v>0</v>
      </c>
      <c r="J88" t="s">
        <v>27</v>
      </c>
      <c r="K88" t="s">
        <v>20</v>
      </c>
      <c r="L88" t="s">
        <v>20</v>
      </c>
      <c r="M88" t="s">
        <v>19</v>
      </c>
      <c r="N88" t="s">
        <v>19</v>
      </c>
      <c r="O88" t="s">
        <v>35</v>
      </c>
    </row>
    <row r="89" spans="1:15" x14ac:dyDescent="0.25">
      <c r="A89" t="s">
        <v>123</v>
      </c>
      <c r="B89" t="s">
        <v>16</v>
      </c>
      <c r="C89" t="s">
        <v>17</v>
      </c>
      <c r="D89" t="s">
        <v>26</v>
      </c>
      <c r="E89" s="1">
        <v>0.5</v>
      </c>
      <c r="F89" t="s">
        <v>20</v>
      </c>
      <c r="G89" t="s">
        <v>19</v>
      </c>
      <c r="H89" t="s">
        <v>21</v>
      </c>
      <c r="I89">
        <v>2</v>
      </c>
      <c r="J89" t="s">
        <v>22</v>
      </c>
      <c r="K89" t="s">
        <v>19</v>
      </c>
      <c r="L89" t="s">
        <v>20</v>
      </c>
      <c r="M89" t="s">
        <v>20</v>
      </c>
      <c r="N89" t="s">
        <v>19</v>
      </c>
      <c r="O89" t="s">
        <v>107</v>
      </c>
    </row>
    <row r="90" spans="1:15" x14ac:dyDescent="0.25">
      <c r="A90" t="s">
        <v>124</v>
      </c>
      <c r="B90">
        <v>18</v>
      </c>
      <c r="C90" t="s">
        <v>17</v>
      </c>
      <c r="D90" t="s">
        <v>26</v>
      </c>
      <c r="E90" s="1">
        <v>0.75</v>
      </c>
      <c r="F90" t="s">
        <v>20</v>
      </c>
      <c r="G90" t="s">
        <v>19</v>
      </c>
      <c r="H90" t="s">
        <v>30</v>
      </c>
      <c r="I90">
        <v>0</v>
      </c>
      <c r="J90" t="s">
        <v>22</v>
      </c>
      <c r="K90" t="s">
        <v>19</v>
      </c>
      <c r="L90" t="s">
        <v>19</v>
      </c>
      <c r="M90" t="s">
        <v>20</v>
      </c>
      <c r="N90" t="s">
        <v>19</v>
      </c>
      <c r="O90" t="s">
        <v>107</v>
      </c>
    </row>
    <row r="91" spans="1:15" x14ac:dyDescent="0.25">
      <c r="A91" t="s">
        <v>125</v>
      </c>
      <c r="B91" t="s">
        <v>16</v>
      </c>
      <c r="C91" t="s">
        <v>17</v>
      </c>
      <c r="D91" t="s">
        <v>26</v>
      </c>
      <c r="E91" s="1">
        <v>0.5</v>
      </c>
      <c r="F91" t="s">
        <v>20</v>
      </c>
      <c r="G91" t="s">
        <v>20</v>
      </c>
      <c r="H91" t="s">
        <v>21</v>
      </c>
      <c r="I91">
        <v>0</v>
      </c>
      <c r="J91" t="s">
        <v>22</v>
      </c>
      <c r="K91" t="s">
        <v>19</v>
      </c>
      <c r="L91" t="s">
        <v>20</v>
      </c>
      <c r="M91" t="s">
        <v>20</v>
      </c>
      <c r="N91" t="s">
        <v>20</v>
      </c>
      <c r="O91" t="s">
        <v>107</v>
      </c>
    </row>
    <row r="92" spans="1:15" x14ac:dyDescent="0.25">
      <c r="A92" t="s">
        <v>126</v>
      </c>
      <c r="B92" t="s">
        <v>16</v>
      </c>
      <c r="C92" t="s">
        <v>29</v>
      </c>
      <c r="D92" t="s">
        <v>26</v>
      </c>
      <c r="E92" s="1">
        <v>0.5</v>
      </c>
      <c r="F92" t="s">
        <v>20</v>
      </c>
      <c r="G92" t="s">
        <v>19</v>
      </c>
      <c r="H92" t="s">
        <v>30</v>
      </c>
      <c r="I92">
        <v>0</v>
      </c>
      <c r="J92" t="s">
        <v>37</v>
      </c>
      <c r="K92" t="s">
        <v>20</v>
      </c>
      <c r="L92" t="s">
        <v>20</v>
      </c>
      <c r="M92" t="s">
        <v>19</v>
      </c>
      <c r="N92" t="s">
        <v>19</v>
      </c>
      <c r="O92" t="s">
        <v>107</v>
      </c>
    </row>
    <row r="93" spans="1:15" x14ac:dyDescent="0.25">
      <c r="A93" t="s">
        <v>127</v>
      </c>
      <c r="B93" t="s">
        <v>16</v>
      </c>
      <c r="C93" t="s">
        <v>17</v>
      </c>
      <c r="D93" t="s">
        <v>26</v>
      </c>
      <c r="E93" s="1">
        <v>1</v>
      </c>
      <c r="F93" t="s">
        <v>19</v>
      </c>
      <c r="G93" t="s">
        <v>19</v>
      </c>
      <c r="H93" t="s">
        <v>30</v>
      </c>
      <c r="I93">
        <v>0</v>
      </c>
      <c r="J93" t="s">
        <v>22</v>
      </c>
      <c r="K93" t="s">
        <v>20</v>
      </c>
      <c r="L93" t="s">
        <v>19</v>
      </c>
      <c r="M93" t="s">
        <v>19</v>
      </c>
      <c r="N93" t="s">
        <v>20</v>
      </c>
      <c r="O93" t="s">
        <v>107</v>
      </c>
    </row>
    <row r="94" spans="1:15" x14ac:dyDescent="0.25">
      <c r="A94" t="s">
        <v>128</v>
      </c>
      <c r="B94">
        <v>18</v>
      </c>
      <c r="C94" t="s">
        <v>17</v>
      </c>
      <c r="D94" t="s">
        <v>26</v>
      </c>
      <c r="E94" s="1">
        <v>0.5</v>
      </c>
      <c r="F94" t="s">
        <v>20</v>
      </c>
      <c r="G94" t="s">
        <v>20</v>
      </c>
      <c r="H94" t="s">
        <v>21</v>
      </c>
      <c r="I94">
        <v>0</v>
      </c>
      <c r="J94" t="s">
        <v>22</v>
      </c>
      <c r="K94" t="s">
        <v>19</v>
      </c>
      <c r="L94" t="s">
        <v>20</v>
      </c>
      <c r="M94" t="s">
        <v>20</v>
      </c>
      <c r="N94" t="s">
        <v>20</v>
      </c>
      <c r="O94" t="s">
        <v>105</v>
      </c>
    </row>
    <row r="95" spans="1:15" x14ac:dyDescent="0.25">
      <c r="A95" t="s">
        <v>129</v>
      </c>
      <c r="B95">
        <v>18</v>
      </c>
      <c r="C95" t="s">
        <v>17</v>
      </c>
      <c r="D95" t="s">
        <v>26</v>
      </c>
      <c r="E95" t="s">
        <v>130</v>
      </c>
      <c r="F95" t="s">
        <v>19</v>
      </c>
      <c r="G95" t="s">
        <v>20</v>
      </c>
      <c r="H95" t="s">
        <v>30</v>
      </c>
      <c r="I95">
        <v>0</v>
      </c>
      <c r="J95" t="s">
        <v>22</v>
      </c>
      <c r="K95" t="s">
        <v>20</v>
      </c>
      <c r="L95" t="s">
        <v>19</v>
      </c>
      <c r="M95" t="s">
        <v>20</v>
      </c>
      <c r="N95" t="s">
        <v>20</v>
      </c>
      <c r="O95" t="s">
        <v>77</v>
      </c>
    </row>
    <row r="96" spans="1:15" x14ac:dyDescent="0.25">
      <c r="A96" t="s">
        <v>131</v>
      </c>
      <c r="B96" t="s">
        <v>16</v>
      </c>
      <c r="C96" t="s">
        <v>17</v>
      </c>
      <c r="D96" t="s">
        <v>26</v>
      </c>
      <c r="E96" s="1">
        <v>0.5</v>
      </c>
      <c r="F96" t="s">
        <v>20</v>
      </c>
      <c r="G96" t="s">
        <v>20</v>
      </c>
      <c r="H96" t="s">
        <v>30</v>
      </c>
      <c r="I96">
        <v>0</v>
      </c>
      <c r="J96" t="s">
        <v>22</v>
      </c>
      <c r="K96" t="s">
        <v>19</v>
      </c>
      <c r="L96" t="s">
        <v>20</v>
      </c>
      <c r="M96" t="s">
        <v>20</v>
      </c>
      <c r="N96" t="s">
        <v>20</v>
      </c>
      <c r="O96" t="s">
        <v>107</v>
      </c>
    </row>
    <row r="97" spans="1:15" x14ac:dyDescent="0.25">
      <c r="A97" t="s">
        <v>132</v>
      </c>
      <c r="B97">
        <v>18</v>
      </c>
      <c r="C97" t="s">
        <v>17</v>
      </c>
      <c r="D97" t="s">
        <v>18</v>
      </c>
      <c r="E97" s="1">
        <v>1</v>
      </c>
      <c r="F97" t="s">
        <v>19</v>
      </c>
      <c r="G97" t="s">
        <v>19</v>
      </c>
      <c r="H97" t="s">
        <v>30</v>
      </c>
      <c r="I97">
        <v>0</v>
      </c>
      <c r="J97" t="s">
        <v>37</v>
      </c>
      <c r="K97" t="s">
        <v>20</v>
      </c>
      <c r="L97" t="s">
        <v>20</v>
      </c>
      <c r="M97" t="s">
        <v>20</v>
      </c>
      <c r="N97" t="s">
        <v>19</v>
      </c>
      <c r="O97" t="s">
        <v>35</v>
      </c>
    </row>
    <row r="98" spans="1:15" x14ac:dyDescent="0.25">
      <c r="A98" t="s">
        <v>133</v>
      </c>
      <c r="B98">
        <v>18</v>
      </c>
      <c r="C98" t="s">
        <v>17</v>
      </c>
      <c r="D98" t="s">
        <v>26</v>
      </c>
      <c r="E98" s="1">
        <v>0.75</v>
      </c>
      <c r="F98" t="s">
        <v>20</v>
      </c>
      <c r="G98" t="s">
        <v>19</v>
      </c>
      <c r="H98" t="s">
        <v>30</v>
      </c>
      <c r="I98">
        <v>0</v>
      </c>
      <c r="J98" t="s">
        <v>37</v>
      </c>
      <c r="K98" t="s">
        <v>20</v>
      </c>
      <c r="L98" t="s">
        <v>20</v>
      </c>
      <c r="M98" t="s">
        <v>20</v>
      </c>
      <c r="N98" t="s">
        <v>20</v>
      </c>
      <c r="O98" t="s">
        <v>105</v>
      </c>
    </row>
    <row r="99" spans="1:15" x14ac:dyDescent="0.25">
      <c r="A99" t="s">
        <v>134</v>
      </c>
      <c r="B99">
        <v>18</v>
      </c>
      <c r="C99" t="s">
        <v>17</v>
      </c>
      <c r="D99" t="s">
        <v>26</v>
      </c>
      <c r="E99" s="1">
        <v>0.75</v>
      </c>
      <c r="F99" t="s">
        <v>19</v>
      </c>
      <c r="G99" t="s">
        <v>20</v>
      </c>
      <c r="H99" t="s">
        <v>21</v>
      </c>
      <c r="I99">
        <v>0</v>
      </c>
      <c r="J99" t="s">
        <v>22</v>
      </c>
      <c r="K99" t="s">
        <v>20</v>
      </c>
      <c r="L99" t="s">
        <v>20</v>
      </c>
      <c r="M99" t="s">
        <v>19</v>
      </c>
      <c r="N99" t="s">
        <v>20</v>
      </c>
      <c r="O99" t="s">
        <v>107</v>
      </c>
    </row>
    <row r="100" spans="1:15" x14ac:dyDescent="0.25">
      <c r="A100" t="s">
        <v>135</v>
      </c>
      <c r="B100">
        <v>18</v>
      </c>
      <c r="C100" t="s">
        <v>17</v>
      </c>
      <c r="D100" t="s">
        <v>26</v>
      </c>
      <c r="E100" s="1">
        <v>0.75</v>
      </c>
      <c r="F100" t="s">
        <v>20</v>
      </c>
      <c r="G100" t="s">
        <v>19</v>
      </c>
      <c r="H100" t="s">
        <v>21</v>
      </c>
      <c r="I100">
        <v>0</v>
      </c>
      <c r="J100" t="s">
        <v>27</v>
      </c>
      <c r="K100" t="s">
        <v>20</v>
      </c>
      <c r="L100" t="s">
        <v>20</v>
      </c>
      <c r="M100" t="s">
        <v>20</v>
      </c>
      <c r="N100" t="s">
        <v>19</v>
      </c>
      <c r="O100" t="s">
        <v>105</v>
      </c>
    </row>
    <row r="101" spans="1:15" x14ac:dyDescent="0.25">
      <c r="A101" t="s">
        <v>136</v>
      </c>
      <c r="B101" t="s">
        <v>16</v>
      </c>
      <c r="C101" t="s">
        <v>17</v>
      </c>
      <c r="D101" t="s">
        <v>26</v>
      </c>
      <c r="E101" s="1">
        <v>0.5</v>
      </c>
      <c r="F101" t="s">
        <v>20</v>
      </c>
      <c r="G101" t="s">
        <v>20</v>
      </c>
      <c r="H101" t="s">
        <v>21</v>
      </c>
      <c r="I101">
        <v>0</v>
      </c>
      <c r="J101" t="s">
        <v>27</v>
      </c>
      <c r="K101" t="s">
        <v>20</v>
      </c>
      <c r="L101" t="s">
        <v>20</v>
      </c>
      <c r="M101" t="s">
        <v>20</v>
      </c>
      <c r="N101" t="s">
        <v>19</v>
      </c>
      <c r="O101" t="s">
        <v>105</v>
      </c>
    </row>
    <row r="102" spans="1:15" x14ac:dyDescent="0.25">
      <c r="A102" t="s">
        <v>137</v>
      </c>
      <c r="B102">
        <v>18</v>
      </c>
      <c r="C102" t="s">
        <v>17</v>
      </c>
      <c r="D102" t="s">
        <v>26</v>
      </c>
      <c r="E102" s="1">
        <v>0.75</v>
      </c>
      <c r="F102" t="s">
        <v>20</v>
      </c>
      <c r="G102" t="s">
        <v>20</v>
      </c>
      <c r="H102" t="s">
        <v>21</v>
      </c>
      <c r="I102">
        <v>0</v>
      </c>
      <c r="J102" t="s">
        <v>37</v>
      </c>
      <c r="K102" t="s">
        <v>20</v>
      </c>
      <c r="L102" t="s">
        <v>19</v>
      </c>
      <c r="M102" t="s">
        <v>19</v>
      </c>
      <c r="N102" t="s">
        <v>19</v>
      </c>
      <c r="O102" t="s">
        <v>107</v>
      </c>
    </row>
    <row r="103" spans="1:15" x14ac:dyDescent="0.25">
      <c r="A103" t="s">
        <v>138</v>
      </c>
      <c r="B103">
        <v>18</v>
      </c>
      <c r="C103" t="s">
        <v>17</v>
      </c>
      <c r="D103" t="s">
        <v>26</v>
      </c>
      <c r="E103" s="1">
        <v>0.75</v>
      </c>
      <c r="F103" t="s">
        <v>20</v>
      </c>
      <c r="G103" t="s">
        <v>20</v>
      </c>
      <c r="H103" t="s">
        <v>30</v>
      </c>
      <c r="I103">
        <v>2</v>
      </c>
      <c r="J103" t="s">
        <v>22</v>
      </c>
      <c r="K103" t="s">
        <v>20</v>
      </c>
      <c r="L103" t="s">
        <v>20</v>
      </c>
      <c r="M103" t="s">
        <v>19</v>
      </c>
      <c r="N103" t="s">
        <v>19</v>
      </c>
      <c r="O103" t="s">
        <v>105</v>
      </c>
    </row>
    <row r="104" spans="1:15" x14ac:dyDescent="0.25">
      <c r="A104" t="s">
        <v>139</v>
      </c>
      <c r="B104">
        <v>18</v>
      </c>
      <c r="C104" t="s">
        <v>17</v>
      </c>
      <c r="D104" t="s">
        <v>26</v>
      </c>
      <c r="E104" s="1">
        <v>0.5</v>
      </c>
      <c r="F104" t="s">
        <v>20</v>
      </c>
      <c r="G104" t="s">
        <v>20</v>
      </c>
      <c r="H104" t="s">
        <v>30</v>
      </c>
      <c r="I104">
        <v>0</v>
      </c>
      <c r="J104" t="s">
        <v>22</v>
      </c>
      <c r="K104" t="s">
        <v>20</v>
      </c>
      <c r="L104" t="s">
        <v>20</v>
      </c>
      <c r="M104" t="s">
        <v>19</v>
      </c>
      <c r="N104" t="s">
        <v>19</v>
      </c>
      <c r="O104" t="s">
        <v>105</v>
      </c>
    </row>
    <row r="105" spans="1:15" x14ac:dyDescent="0.25">
      <c r="A105" t="s">
        <v>140</v>
      </c>
      <c r="B105">
        <v>18</v>
      </c>
      <c r="C105" t="s">
        <v>17</v>
      </c>
      <c r="D105" t="s">
        <v>21</v>
      </c>
      <c r="E105" s="1">
        <v>0.75</v>
      </c>
      <c r="F105" t="s">
        <v>20</v>
      </c>
      <c r="G105" t="s">
        <v>20</v>
      </c>
      <c r="H105" t="s">
        <v>30</v>
      </c>
      <c r="I105">
        <v>12</v>
      </c>
      <c r="J105" t="s">
        <v>22</v>
      </c>
      <c r="K105" t="s">
        <v>20</v>
      </c>
      <c r="L105" t="s">
        <v>19</v>
      </c>
      <c r="M105" t="s">
        <v>19</v>
      </c>
      <c r="N105" t="s">
        <v>20</v>
      </c>
      <c r="O105" t="s">
        <v>105</v>
      </c>
    </row>
    <row r="106" spans="1:15" x14ac:dyDescent="0.25">
      <c r="A106" t="s">
        <v>141</v>
      </c>
      <c r="B106">
        <v>18</v>
      </c>
      <c r="C106" t="s">
        <v>29</v>
      </c>
      <c r="D106" t="s">
        <v>26</v>
      </c>
      <c r="E106" s="1">
        <v>0.5</v>
      </c>
      <c r="F106" t="s">
        <v>20</v>
      </c>
      <c r="G106" t="s">
        <v>20</v>
      </c>
      <c r="H106" t="s">
        <v>21</v>
      </c>
      <c r="I106">
        <v>0</v>
      </c>
      <c r="J106" t="s">
        <v>37</v>
      </c>
      <c r="K106" t="s">
        <v>20</v>
      </c>
      <c r="L106" t="s">
        <v>19</v>
      </c>
      <c r="M106" t="s">
        <v>20</v>
      </c>
      <c r="N106" t="s">
        <v>19</v>
      </c>
      <c r="O106" t="s">
        <v>52</v>
      </c>
    </row>
    <row r="107" spans="1:15" x14ac:dyDescent="0.25">
      <c r="A107" t="s">
        <v>142</v>
      </c>
      <c r="B107">
        <v>18</v>
      </c>
      <c r="C107" t="s">
        <v>17</v>
      </c>
      <c r="D107" t="s">
        <v>26</v>
      </c>
      <c r="E107" s="1">
        <v>0.75</v>
      </c>
      <c r="F107" t="s">
        <v>19</v>
      </c>
      <c r="G107" t="s">
        <v>19</v>
      </c>
      <c r="H107" t="s">
        <v>21</v>
      </c>
      <c r="I107">
        <v>0</v>
      </c>
      <c r="J107" t="s">
        <v>22</v>
      </c>
      <c r="K107" t="s">
        <v>19</v>
      </c>
      <c r="L107" t="s">
        <v>20</v>
      </c>
      <c r="M107" t="s">
        <v>20</v>
      </c>
      <c r="N107" t="s">
        <v>20</v>
      </c>
      <c r="O107" t="s">
        <v>105</v>
      </c>
    </row>
    <row r="108" spans="1:15" x14ac:dyDescent="0.25">
      <c r="A108" t="s">
        <v>143</v>
      </c>
      <c r="B108">
        <v>18</v>
      </c>
      <c r="C108" t="s">
        <v>17</v>
      </c>
      <c r="D108" t="s">
        <v>26</v>
      </c>
      <c r="E108" s="1">
        <v>0.75</v>
      </c>
      <c r="F108" t="s">
        <v>20</v>
      </c>
      <c r="G108" t="s">
        <v>19</v>
      </c>
      <c r="H108" t="s">
        <v>21</v>
      </c>
      <c r="I108">
        <v>0</v>
      </c>
      <c r="J108" t="s">
        <v>22</v>
      </c>
      <c r="K108" t="s">
        <v>20</v>
      </c>
      <c r="L108" t="s">
        <v>20</v>
      </c>
      <c r="M108" t="s">
        <v>20</v>
      </c>
      <c r="N108" t="s">
        <v>19</v>
      </c>
      <c r="O108" t="s">
        <v>105</v>
      </c>
    </row>
    <row r="109" spans="1:15" x14ac:dyDescent="0.25">
      <c r="A109" t="s">
        <v>144</v>
      </c>
      <c r="B109">
        <v>18</v>
      </c>
      <c r="C109" t="s">
        <v>29</v>
      </c>
      <c r="D109" t="s">
        <v>26</v>
      </c>
      <c r="E109" s="1">
        <v>0.75</v>
      </c>
      <c r="F109" t="s">
        <v>19</v>
      </c>
      <c r="G109" t="s">
        <v>19</v>
      </c>
      <c r="H109" t="s">
        <v>21</v>
      </c>
      <c r="I109">
        <v>0</v>
      </c>
      <c r="J109" t="s">
        <v>22</v>
      </c>
      <c r="K109" t="s">
        <v>20</v>
      </c>
      <c r="L109" t="s">
        <v>19</v>
      </c>
      <c r="M109" t="s">
        <v>19</v>
      </c>
      <c r="N109" t="s">
        <v>20</v>
      </c>
      <c r="O109" t="s">
        <v>107</v>
      </c>
    </row>
    <row r="110" spans="1:15" x14ac:dyDescent="0.25">
      <c r="A110" t="s">
        <v>145</v>
      </c>
      <c r="B110" t="s">
        <v>16</v>
      </c>
      <c r="C110" t="s">
        <v>29</v>
      </c>
      <c r="D110" t="s">
        <v>21</v>
      </c>
      <c r="E110" s="1">
        <v>1</v>
      </c>
      <c r="F110" t="s">
        <v>20</v>
      </c>
      <c r="G110" t="s">
        <v>19</v>
      </c>
      <c r="H110" t="s">
        <v>21</v>
      </c>
      <c r="I110">
        <v>2</v>
      </c>
      <c r="J110" t="s">
        <v>37</v>
      </c>
      <c r="K110" t="s">
        <v>19</v>
      </c>
      <c r="L110" t="s">
        <v>19</v>
      </c>
      <c r="M110" t="s">
        <v>20</v>
      </c>
      <c r="N110" t="s">
        <v>19</v>
      </c>
      <c r="O110" t="s">
        <v>107</v>
      </c>
    </row>
    <row r="111" spans="1:15" x14ac:dyDescent="0.25">
      <c r="A111" t="s">
        <v>146</v>
      </c>
      <c r="B111">
        <v>18</v>
      </c>
      <c r="C111" t="s">
        <v>17</v>
      </c>
      <c r="D111" t="s">
        <v>21</v>
      </c>
      <c r="E111" s="1">
        <v>0.5</v>
      </c>
      <c r="F111" t="s">
        <v>20</v>
      </c>
      <c r="G111" t="s">
        <v>19</v>
      </c>
      <c r="H111" t="s">
        <v>30</v>
      </c>
      <c r="I111">
        <v>0</v>
      </c>
      <c r="J111" t="s">
        <v>37</v>
      </c>
      <c r="K111" t="s">
        <v>20</v>
      </c>
      <c r="L111" t="s">
        <v>19</v>
      </c>
      <c r="M111" t="s">
        <v>20</v>
      </c>
      <c r="N111" t="s">
        <v>19</v>
      </c>
      <c r="O111" t="s">
        <v>105</v>
      </c>
    </row>
    <row r="112" spans="1:15" x14ac:dyDescent="0.25">
      <c r="A112" t="s">
        <v>147</v>
      </c>
      <c r="B112" t="s">
        <v>16</v>
      </c>
      <c r="C112" t="s">
        <v>17</v>
      </c>
      <c r="D112" t="s">
        <v>26</v>
      </c>
      <c r="E112" s="1">
        <v>0.5</v>
      </c>
      <c r="F112" t="s">
        <v>20</v>
      </c>
      <c r="G112" t="s">
        <v>20</v>
      </c>
      <c r="H112" t="s">
        <v>21</v>
      </c>
      <c r="I112">
        <v>2</v>
      </c>
      <c r="J112" t="s">
        <v>27</v>
      </c>
      <c r="K112" t="s">
        <v>20</v>
      </c>
      <c r="L112" t="s">
        <v>19</v>
      </c>
      <c r="M112" t="s">
        <v>20</v>
      </c>
      <c r="N112" t="s">
        <v>19</v>
      </c>
      <c r="O112" t="s">
        <v>33</v>
      </c>
    </row>
    <row r="113" spans="1:15" x14ac:dyDescent="0.25">
      <c r="A113" t="s">
        <v>148</v>
      </c>
      <c r="B113">
        <v>18</v>
      </c>
      <c r="C113" t="s">
        <v>29</v>
      </c>
      <c r="D113" t="s">
        <v>21</v>
      </c>
      <c r="E113" s="1">
        <v>1</v>
      </c>
      <c r="F113" t="s">
        <v>20</v>
      </c>
      <c r="G113" t="s">
        <v>19</v>
      </c>
      <c r="H113" t="s">
        <v>21</v>
      </c>
      <c r="I113">
        <v>0</v>
      </c>
      <c r="J113" t="s">
        <v>22</v>
      </c>
      <c r="K113" t="s">
        <v>20</v>
      </c>
      <c r="L113" t="s">
        <v>20</v>
      </c>
      <c r="M113" t="s">
        <v>19</v>
      </c>
      <c r="N113" t="s">
        <v>19</v>
      </c>
      <c r="O113" t="s">
        <v>33</v>
      </c>
    </row>
    <row r="114" spans="1:15" x14ac:dyDescent="0.25">
      <c r="A114" t="s">
        <v>149</v>
      </c>
      <c r="B114" t="s">
        <v>16</v>
      </c>
      <c r="C114" t="s">
        <v>29</v>
      </c>
      <c r="D114" t="s">
        <v>18</v>
      </c>
      <c r="E114" s="1">
        <v>0.5</v>
      </c>
      <c r="F114" t="s">
        <v>19</v>
      </c>
      <c r="G114" t="s">
        <v>20</v>
      </c>
      <c r="H114" t="s">
        <v>21</v>
      </c>
      <c r="I114">
        <v>0</v>
      </c>
      <c r="J114">
        <v>3</v>
      </c>
      <c r="K114" t="s">
        <v>20</v>
      </c>
      <c r="L114" t="s">
        <v>19</v>
      </c>
      <c r="M114" t="s">
        <v>19</v>
      </c>
      <c r="N114" t="s">
        <v>19</v>
      </c>
      <c r="O114" t="s">
        <v>33</v>
      </c>
    </row>
    <row r="115" spans="1:15" x14ac:dyDescent="0.25">
      <c r="A115" t="s">
        <v>150</v>
      </c>
      <c r="B115" t="s">
        <v>16</v>
      </c>
      <c r="C115" t="s">
        <v>29</v>
      </c>
      <c r="D115" t="s">
        <v>18</v>
      </c>
      <c r="E115" s="1">
        <v>0.5</v>
      </c>
      <c r="F115" t="s">
        <v>20</v>
      </c>
      <c r="G115" t="s">
        <v>20</v>
      </c>
      <c r="H115" t="s">
        <v>21</v>
      </c>
      <c r="I115">
        <v>0</v>
      </c>
      <c r="J115" t="s">
        <v>27</v>
      </c>
      <c r="K115" t="s">
        <v>20</v>
      </c>
      <c r="L115" t="s">
        <v>19</v>
      </c>
      <c r="M115" t="s">
        <v>20</v>
      </c>
      <c r="N115" t="s">
        <v>19</v>
      </c>
      <c r="O115" t="s">
        <v>23</v>
      </c>
    </row>
    <row r="116" spans="1:15" x14ac:dyDescent="0.25">
      <c r="A116" t="s">
        <v>151</v>
      </c>
      <c r="B116" t="s">
        <v>16</v>
      </c>
      <c r="C116" t="s">
        <v>29</v>
      </c>
      <c r="D116" t="s">
        <v>26</v>
      </c>
      <c r="E116" s="1">
        <v>1</v>
      </c>
      <c r="F116" t="s">
        <v>19</v>
      </c>
      <c r="G116" t="s">
        <v>19</v>
      </c>
      <c r="H116" t="s">
        <v>21</v>
      </c>
      <c r="I116">
        <v>8</v>
      </c>
      <c r="J116" t="s">
        <v>22</v>
      </c>
      <c r="K116" t="s">
        <v>19</v>
      </c>
      <c r="L116" t="s">
        <v>19</v>
      </c>
      <c r="M116" t="s">
        <v>19</v>
      </c>
      <c r="N116" t="s">
        <v>19</v>
      </c>
      <c r="O116" t="s">
        <v>33</v>
      </c>
    </row>
    <row r="117" spans="1:15" x14ac:dyDescent="0.25">
      <c r="A117" t="s">
        <v>152</v>
      </c>
      <c r="B117" t="s">
        <v>16</v>
      </c>
      <c r="C117" t="s">
        <v>29</v>
      </c>
      <c r="D117" t="s">
        <v>26</v>
      </c>
      <c r="E117" s="1">
        <v>1</v>
      </c>
      <c r="F117" t="s">
        <v>19</v>
      </c>
      <c r="G117" t="s">
        <v>20</v>
      </c>
      <c r="H117" t="s">
        <v>30</v>
      </c>
      <c r="I117">
        <v>0</v>
      </c>
      <c r="J117" t="s">
        <v>22</v>
      </c>
      <c r="K117" t="s">
        <v>19</v>
      </c>
      <c r="L117" t="s">
        <v>19</v>
      </c>
      <c r="M117" t="s">
        <v>19</v>
      </c>
      <c r="N117" t="s">
        <v>19</v>
      </c>
      <c r="O117" t="s">
        <v>23</v>
      </c>
    </row>
    <row r="118" spans="1:15" x14ac:dyDescent="0.25">
      <c r="A118" t="s">
        <v>153</v>
      </c>
      <c r="B118" t="s">
        <v>16</v>
      </c>
      <c r="C118" t="s">
        <v>29</v>
      </c>
      <c r="D118" t="s">
        <v>26</v>
      </c>
      <c r="E118" s="1">
        <v>1</v>
      </c>
      <c r="F118" t="s">
        <v>20</v>
      </c>
      <c r="G118" t="s">
        <v>20</v>
      </c>
      <c r="H118" t="s">
        <v>21</v>
      </c>
      <c r="I118">
        <v>0</v>
      </c>
      <c r="J118" t="s">
        <v>22</v>
      </c>
      <c r="K118" t="s">
        <v>19</v>
      </c>
      <c r="L118" t="s">
        <v>19</v>
      </c>
      <c r="M118" t="s">
        <v>19</v>
      </c>
      <c r="N118" t="s">
        <v>20</v>
      </c>
      <c r="O118" t="s">
        <v>23</v>
      </c>
    </row>
    <row r="119" spans="1:15" x14ac:dyDescent="0.25">
      <c r="A119" t="s">
        <v>154</v>
      </c>
      <c r="B119" t="s">
        <v>46</v>
      </c>
      <c r="C119" t="s">
        <v>29</v>
      </c>
      <c r="D119" t="s">
        <v>21</v>
      </c>
      <c r="E119" s="1">
        <v>0.5</v>
      </c>
      <c r="F119" t="s">
        <v>20</v>
      </c>
      <c r="G119" t="s">
        <v>19</v>
      </c>
      <c r="H119" t="s">
        <v>21</v>
      </c>
      <c r="I119">
        <v>0</v>
      </c>
      <c r="J119" t="s">
        <v>22</v>
      </c>
      <c r="K119" t="s">
        <v>20</v>
      </c>
      <c r="L119" t="s">
        <v>19</v>
      </c>
      <c r="M119" t="s">
        <v>20</v>
      </c>
      <c r="N119" t="s">
        <v>19</v>
      </c>
      <c r="O119" t="s">
        <v>23</v>
      </c>
    </row>
    <row r="120" spans="1:15" x14ac:dyDescent="0.25">
      <c r="A120" t="s">
        <v>155</v>
      </c>
      <c r="B120">
        <v>18</v>
      </c>
      <c r="C120" t="s">
        <v>17</v>
      </c>
      <c r="D120" t="s">
        <v>26</v>
      </c>
      <c r="E120" s="1">
        <v>1</v>
      </c>
      <c r="F120" t="s">
        <v>20</v>
      </c>
      <c r="G120" t="s">
        <v>19</v>
      </c>
      <c r="H120" t="s">
        <v>30</v>
      </c>
      <c r="I120">
        <v>0</v>
      </c>
      <c r="J120" t="s">
        <v>27</v>
      </c>
      <c r="K120" t="s">
        <v>20</v>
      </c>
      <c r="L120" t="s">
        <v>19</v>
      </c>
      <c r="M120" t="s">
        <v>20</v>
      </c>
      <c r="N120" t="s">
        <v>20</v>
      </c>
      <c r="O120" t="s">
        <v>23</v>
      </c>
    </row>
    <row r="121" spans="1:15" x14ac:dyDescent="0.25">
      <c r="A121" t="s">
        <v>156</v>
      </c>
      <c r="B121" t="s">
        <v>16</v>
      </c>
      <c r="C121" t="s">
        <v>29</v>
      </c>
      <c r="D121" t="s">
        <v>26</v>
      </c>
      <c r="E121" s="1">
        <v>0.75</v>
      </c>
      <c r="F121" t="s">
        <v>20</v>
      </c>
      <c r="G121" t="s">
        <v>19</v>
      </c>
      <c r="H121" t="s">
        <v>21</v>
      </c>
      <c r="I121">
        <v>0</v>
      </c>
      <c r="J121" t="s">
        <v>22</v>
      </c>
      <c r="K121" t="s">
        <v>20</v>
      </c>
      <c r="L121" t="s">
        <v>20</v>
      </c>
      <c r="M121" t="s">
        <v>19</v>
      </c>
      <c r="N121" t="s">
        <v>19</v>
      </c>
      <c r="O121" t="s">
        <v>33</v>
      </c>
    </row>
    <row r="122" spans="1:15" x14ac:dyDescent="0.25">
      <c r="A122" t="s">
        <v>157</v>
      </c>
      <c r="B122" t="s">
        <v>16</v>
      </c>
      <c r="C122" t="s">
        <v>29</v>
      </c>
      <c r="D122" t="s">
        <v>21</v>
      </c>
      <c r="E122" s="1">
        <v>0.5</v>
      </c>
      <c r="F122" t="s">
        <v>19</v>
      </c>
      <c r="G122" t="s">
        <v>19</v>
      </c>
      <c r="H122" t="s">
        <v>30</v>
      </c>
      <c r="I122">
        <v>2</v>
      </c>
      <c r="J122" t="s">
        <v>37</v>
      </c>
      <c r="K122" t="s">
        <v>20</v>
      </c>
      <c r="L122" t="s">
        <v>20</v>
      </c>
      <c r="M122" t="s">
        <v>19</v>
      </c>
      <c r="N122" t="s">
        <v>19</v>
      </c>
      <c r="O122" t="s">
        <v>23</v>
      </c>
    </row>
    <row r="123" spans="1:15" x14ac:dyDescent="0.25">
      <c r="A123" t="s">
        <v>158</v>
      </c>
      <c r="B123" t="s">
        <v>16</v>
      </c>
      <c r="C123" t="s">
        <v>29</v>
      </c>
      <c r="D123" t="s">
        <v>26</v>
      </c>
      <c r="E123" s="1">
        <v>0.5</v>
      </c>
      <c r="F123" t="s">
        <v>19</v>
      </c>
      <c r="G123" t="s">
        <v>19</v>
      </c>
      <c r="H123" t="s">
        <v>30</v>
      </c>
      <c r="I123">
        <v>0</v>
      </c>
      <c r="J123" t="s">
        <v>37</v>
      </c>
      <c r="K123" t="s">
        <v>19</v>
      </c>
      <c r="L123" t="s">
        <v>19</v>
      </c>
      <c r="M123" t="s">
        <v>19</v>
      </c>
      <c r="N123" t="s">
        <v>20</v>
      </c>
      <c r="O123" t="s">
        <v>40</v>
      </c>
    </row>
    <row r="124" spans="1:15" x14ac:dyDescent="0.25">
      <c r="A124" t="s">
        <v>159</v>
      </c>
      <c r="B124">
        <v>18</v>
      </c>
      <c r="C124" t="s">
        <v>17</v>
      </c>
      <c r="D124" t="s">
        <v>26</v>
      </c>
      <c r="E124" s="1">
        <v>1</v>
      </c>
      <c r="F124" t="s">
        <v>20</v>
      </c>
      <c r="G124" t="s">
        <v>19</v>
      </c>
      <c r="H124" t="s">
        <v>21</v>
      </c>
      <c r="I124">
        <v>0</v>
      </c>
      <c r="J124" t="s">
        <v>22</v>
      </c>
      <c r="K124" t="s">
        <v>19</v>
      </c>
      <c r="L124" t="s">
        <v>20</v>
      </c>
      <c r="M124" t="s">
        <v>19</v>
      </c>
      <c r="N124" t="s">
        <v>19</v>
      </c>
      <c r="O124" t="s">
        <v>33</v>
      </c>
    </row>
    <row r="125" spans="1:15" x14ac:dyDescent="0.25">
      <c r="A125" t="s">
        <v>160</v>
      </c>
      <c r="B125" t="s">
        <v>16</v>
      </c>
      <c r="C125" t="s">
        <v>29</v>
      </c>
      <c r="D125" t="s">
        <v>18</v>
      </c>
      <c r="E125" s="1">
        <v>0.5</v>
      </c>
      <c r="F125" t="s">
        <v>20</v>
      </c>
      <c r="G125" t="s">
        <v>20</v>
      </c>
      <c r="H125" t="s">
        <v>21</v>
      </c>
      <c r="I125">
        <v>12</v>
      </c>
      <c r="J125" t="s">
        <v>22</v>
      </c>
      <c r="K125" t="s">
        <v>19</v>
      </c>
      <c r="L125" t="s">
        <v>20</v>
      </c>
      <c r="M125" t="s">
        <v>20</v>
      </c>
      <c r="N125" t="s">
        <v>20</v>
      </c>
      <c r="O125" t="s">
        <v>23</v>
      </c>
    </row>
    <row r="126" spans="1:15" x14ac:dyDescent="0.25">
      <c r="A126" t="s">
        <v>161</v>
      </c>
      <c r="B126">
        <v>18</v>
      </c>
      <c r="C126" t="s">
        <v>29</v>
      </c>
      <c r="D126" t="s">
        <v>26</v>
      </c>
      <c r="E126" s="1">
        <v>0.75</v>
      </c>
      <c r="F126" t="s">
        <v>19</v>
      </c>
      <c r="G126" t="s">
        <v>19</v>
      </c>
      <c r="H126" t="s">
        <v>30</v>
      </c>
      <c r="I126">
        <v>0</v>
      </c>
      <c r="J126" t="s">
        <v>22</v>
      </c>
      <c r="K126" t="s">
        <v>20</v>
      </c>
      <c r="L126" t="s">
        <v>20</v>
      </c>
      <c r="M126" t="s">
        <v>19</v>
      </c>
      <c r="N126" t="s">
        <v>19</v>
      </c>
      <c r="O126" t="s">
        <v>52</v>
      </c>
    </row>
    <row r="127" spans="1:15" x14ac:dyDescent="0.25">
      <c r="A127" t="s">
        <v>162</v>
      </c>
      <c r="B127">
        <v>18</v>
      </c>
      <c r="C127" t="s">
        <v>29</v>
      </c>
      <c r="D127" t="s">
        <v>26</v>
      </c>
      <c r="E127" s="1">
        <v>1</v>
      </c>
      <c r="F127" t="s">
        <v>19</v>
      </c>
      <c r="G127" t="s">
        <v>19</v>
      </c>
      <c r="H127" t="s">
        <v>21</v>
      </c>
      <c r="I127">
        <v>0</v>
      </c>
      <c r="J127" t="s">
        <v>22</v>
      </c>
      <c r="K127" t="s">
        <v>20</v>
      </c>
      <c r="L127" t="s">
        <v>19</v>
      </c>
      <c r="M127" t="s">
        <v>19</v>
      </c>
      <c r="N127" t="s">
        <v>20</v>
      </c>
      <c r="O127" t="s">
        <v>33</v>
      </c>
    </row>
    <row r="128" spans="1:15" x14ac:dyDescent="0.25">
      <c r="A128" t="s">
        <v>163</v>
      </c>
      <c r="B128">
        <v>18</v>
      </c>
      <c r="C128" t="s">
        <v>29</v>
      </c>
      <c r="D128" t="s">
        <v>21</v>
      </c>
      <c r="E128" s="1">
        <v>0.75</v>
      </c>
      <c r="F128" t="s">
        <v>19</v>
      </c>
      <c r="G128" t="s">
        <v>19</v>
      </c>
      <c r="H128" t="s">
        <v>30</v>
      </c>
      <c r="I128">
        <v>12</v>
      </c>
      <c r="J128" t="s">
        <v>37</v>
      </c>
      <c r="K128" t="s">
        <v>20</v>
      </c>
      <c r="L128" t="s">
        <v>19</v>
      </c>
      <c r="M128">
        <v>6</v>
      </c>
      <c r="N128" t="s">
        <v>19</v>
      </c>
      <c r="O128" t="s">
        <v>52</v>
      </c>
    </row>
    <row r="129" spans="1:15" x14ac:dyDescent="0.25">
      <c r="A129" t="s">
        <v>164</v>
      </c>
      <c r="B129">
        <v>18</v>
      </c>
      <c r="C129" t="s">
        <v>29</v>
      </c>
      <c r="D129" t="s">
        <v>26</v>
      </c>
      <c r="E129" s="1">
        <v>0.75</v>
      </c>
      <c r="F129" t="s">
        <v>20</v>
      </c>
      <c r="G129" t="s">
        <v>20</v>
      </c>
      <c r="H129" t="s">
        <v>21</v>
      </c>
      <c r="I129">
        <v>0</v>
      </c>
      <c r="J129" t="s">
        <v>27</v>
      </c>
      <c r="K129" t="s">
        <v>20</v>
      </c>
      <c r="L129" t="s">
        <v>20</v>
      </c>
      <c r="M129" t="s">
        <v>20</v>
      </c>
      <c r="N129" t="s">
        <v>19</v>
      </c>
      <c r="O129" t="s">
        <v>23</v>
      </c>
    </row>
    <row r="130" spans="1:15" x14ac:dyDescent="0.25">
      <c r="A130" t="s">
        <v>165</v>
      </c>
      <c r="B130">
        <v>18</v>
      </c>
      <c r="C130" t="s">
        <v>29</v>
      </c>
      <c r="D130" t="s">
        <v>26</v>
      </c>
      <c r="E130" s="1">
        <v>0.75</v>
      </c>
      <c r="F130" t="s">
        <v>20</v>
      </c>
      <c r="G130" t="s">
        <v>19</v>
      </c>
      <c r="H130" t="s">
        <v>30</v>
      </c>
      <c r="I130">
        <v>0</v>
      </c>
      <c r="J130" t="s">
        <v>27</v>
      </c>
      <c r="K130" t="s">
        <v>20</v>
      </c>
      <c r="L130" t="s">
        <v>20</v>
      </c>
      <c r="M130" t="s">
        <v>20</v>
      </c>
      <c r="N130" t="s">
        <v>19</v>
      </c>
      <c r="O130" t="s">
        <v>40</v>
      </c>
    </row>
    <row r="131" spans="1:15" x14ac:dyDescent="0.25">
      <c r="A131" t="s">
        <v>166</v>
      </c>
      <c r="B131">
        <v>18</v>
      </c>
      <c r="C131" t="s">
        <v>29</v>
      </c>
      <c r="D131" t="s">
        <v>26</v>
      </c>
      <c r="E131" s="1">
        <v>0.5</v>
      </c>
      <c r="F131" t="s">
        <v>19</v>
      </c>
      <c r="G131" t="s">
        <v>19</v>
      </c>
      <c r="H131" t="s">
        <v>21</v>
      </c>
      <c r="I131">
        <v>0</v>
      </c>
      <c r="J131" t="s">
        <v>22</v>
      </c>
      <c r="K131" t="s">
        <v>19</v>
      </c>
      <c r="L131" t="s">
        <v>19</v>
      </c>
      <c r="M131" t="s">
        <v>19</v>
      </c>
      <c r="N131" t="s">
        <v>20</v>
      </c>
      <c r="O131" t="s">
        <v>52</v>
      </c>
    </row>
    <row r="132" spans="1:15" x14ac:dyDescent="0.25">
      <c r="A132" t="s">
        <v>167</v>
      </c>
      <c r="B132">
        <v>18</v>
      </c>
      <c r="C132" t="s">
        <v>29</v>
      </c>
      <c r="D132" t="s">
        <v>26</v>
      </c>
      <c r="E132" s="1">
        <v>0.5</v>
      </c>
      <c r="F132" t="s">
        <v>19</v>
      </c>
      <c r="G132" t="s">
        <v>19</v>
      </c>
      <c r="H132" t="s">
        <v>21</v>
      </c>
      <c r="I132">
        <v>0</v>
      </c>
      <c r="J132" t="s">
        <v>22</v>
      </c>
      <c r="K132" t="s">
        <v>19</v>
      </c>
      <c r="L132" t="s">
        <v>19</v>
      </c>
      <c r="M132" t="s">
        <v>20</v>
      </c>
      <c r="N132" t="s">
        <v>20</v>
      </c>
      <c r="O132" t="s">
        <v>23</v>
      </c>
    </row>
    <row r="133" spans="1:15" x14ac:dyDescent="0.25">
      <c r="A133" t="s">
        <v>168</v>
      </c>
      <c r="B133">
        <v>18</v>
      </c>
      <c r="C133" t="s">
        <v>29</v>
      </c>
      <c r="D133" t="s">
        <v>21</v>
      </c>
      <c r="E133" s="1">
        <v>1</v>
      </c>
      <c r="F133" t="s">
        <v>20</v>
      </c>
      <c r="G133" t="s">
        <v>19</v>
      </c>
      <c r="H133" t="s">
        <v>21</v>
      </c>
      <c r="I133">
        <v>0</v>
      </c>
      <c r="J133" t="s">
        <v>37</v>
      </c>
      <c r="K133" t="s">
        <v>20</v>
      </c>
      <c r="L133" t="s">
        <v>19</v>
      </c>
      <c r="M133" t="s">
        <v>19</v>
      </c>
      <c r="N133" t="s">
        <v>19</v>
      </c>
      <c r="O133" t="s">
        <v>77</v>
      </c>
    </row>
    <row r="134" spans="1:15" x14ac:dyDescent="0.25">
      <c r="A134" t="s">
        <v>169</v>
      </c>
      <c r="B134">
        <v>18</v>
      </c>
      <c r="C134" t="s">
        <v>29</v>
      </c>
      <c r="D134" t="s">
        <v>21</v>
      </c>
      <c r="E134" s="1">
        <v>1</v>
      </c>
      <c r="F134" t="s">
        <v>20</v>
      </c>
      <c r="G134" t="s">
        <v>19</v>
      </c>
      <c r="H134" t="s">
        <v>21</v>
      </c>
      <c r="I134">
        <v>0</v>
      </c>
      <c r="J134" t="s">
        <v>22</v>
      </c>
      <c r="K134" t="s">
        <v>20</v>
      </c>
      <c r="L134" t="s">
        <v>19</v>
      </c>
      <c r="M134" t="s">
        <v>20</v>
      </c>
      <c r="N134" t="s">
        <v>20</v>
      </c>
      <c r="O134" t="s">
        <v>52</v>
      </c>
    </row>
    <row r="135" spans="1:15" x14ac:dyDescent="0.25">
      <c r="A135" t="s">
        <v>170</v>
      </c>
      <c r="B135">
        <v>18</v>
      </c>
      <c r="C135" t="s">
        <v>29</v>
      </c>
      <c r="D135" t="s">
        <v>26</v>
      </c>
      <c r="E135" s="1">
        <v>1</v>
      </c>
      <c r="F135" t="s">
        <v>20</v>
      </c>
      <c r="G135" t="s">
        <v>20</v>
      </c>
      <c r="H135" t="s">
        <v>30</v>
      </c>
      <c r="I135">
        <v>0</v>
      </c>
      <c r="J135" t="s">
        <v>22</v>
      </c>
      <c r="K135" t="s">
        <v>19</v>
      </c>
      <c r="L135" t="s">
        <v>19</v>
      </c>
      <c r="M135" t="s">
        <v>19</v>
      </c>
      <c r="N135" t="s">
        <v>19</v>
      </c>
      <c r="O135" t="s">
        <v>52</v>
      </c>
    </row>
    <row r="136" spans="1:15" x14ac:dyDescent="0.25">
      <c r="A136" t="s">
        <v>171</v>
      </c>
      <c r="B136">
        <v>18</v>
      </c>
      <c r="C136" t="s">
        <v>29</v>
      </c>
      <c r="D136" t="s">
        <v>26</v>
      </c>
      <c r="E136" s="1">
        <v>0.75</v>
      </c>
      <c r="F136" t="s">
        <v>20</v>
      </c>
      <c r="G136" t="s">
        <v>19</v>
      </c>
      <c r="H136" t="s">
        <v>21</v>
      </c>
      <c r="I136">
        <v>0</v>
      </c>
      <c r="J136" t="s">
        <v>37</v>
      </c>
      <c r="K136" t="s">
        <v>20</v>
      </c>
      <c r="L136" t="s">
        <v>19</v>
      </c>
      <c r="M136" t="s">
        <v>19</v>
      </c>
      <c r="N136" t="s">
        <v>19</v>
      </c>
      <c r="O136" t="s">
        <v>23</v>
      </c>
    </row>
    <row r="137" spans="1:15" x14ac:dyDescent="0.25">
      <c r="A137" t="s">
        <v>172</v>
      </c>
      <c r="B137" t="s">
        <v>16</v>
      </c>
      <c r="C137" t="s">
        <v>29</v>
      </c>
      <c r="D137" t="s">
        <v>26</v>
      </c>
      <c r="E137" s="1">
        <v>0.5</v>
      </c>
      <c r="F137" t="s">
        <v>19</v>
      </c>
      <c r="G137" t="s">
        <v>19</v>
      </c>
      <c r="H137" t="s">
        <v>21</v>
      </c>
      <c r="I137">
        <v>0</v>
      </c>
      <c r="J137" t="s">
        <v>27</v>
      </c>
      <c r="K137" t="s">
        <v>20</v>
      </c>
      <c r="L137" t="s">
        <v>20</v>
      </c>
      <c r="M137" t="s">
        <v>19</v>
      </c>
      <c r="N137" t="s">
        <v>19</v>
      </c>
      <c r="O137" t="s">
        <v>33</v>
      </c>
    </row>
    <row r="138" spans="1:15" x14ac:dyDescent="0.25">
      <c r="A138" t="s">
        <v>173</v>
      </c>
      <c r="B138">
        <v>18</v>
      </c>
      <c r="C138" t="s">
        <v>29</v>
      </c>
      <c r="D138" t="s">
        <v>26</v>
      </c>
      <c r="E138" s="1">
        <v>0.5</v>
      </c>
      <c r="F138" t="s">
        <v>19</v>
      </c>
      <c r="G138" t="s">
        <v>19</v>
      </c>
      <c r="H138" t="s">
        <v>30</v>
      </c>
      <c r="I138">
        <v>0</v>
      </c>
      <c r="J138" t="s">
        <v>37</v>
      </c>
      <c r="K138" t="s">
        <v>20</v>
      </c>
      <c r="L138" t="s">
        <v>20</v>
      </c>
      <c r="M138" t="s">
        <v>19</v>
      </c>
      <c r="N138" t="s">
        <v>20</v>
      </c>
      <c r="O138" t="s">
        <v>40</v>
      </c>
    </row>
    <row r="139" spans="1:15" x14ac:dyDescent="0.25">
      <c r="A139" t="s">
        <v>174</v>
      </c>
      <c r="B139">
        <v>18</v>
      </c>
      <c r="C139" t="s">
        <v>29</v>
      </c>
      <c r="D139" t="s">
        <v>21</v>
      </c>
      <c r="E139" s="1">
        <v>1</v>
      </c>
      <c r="F139" t="s">
        <v>20</v>
      </c>
      <c r="G139" t="s">
        <v>19</v>
      </c>
      <c r="H139" t="s">
        <v>21</v>
      </c>
      <c r="I139">
        <v>0</v>
      </c>
      <c r="J139" t="s">
        <v>22</v>
      </c>
      <c r="K139" t="s">
        <v>19</v>
      </c>
      <c r="L139" t="s">
        <v>20</v>
      </c>
      <c r="M139" t="s">
        <v>20</v>
      </c>
      <c r="N139" t="s">
        <v>19</v>
      </c>
      <c r="O139" t="s">
        <v>33</v>
      </c>
    </row>
    <row r="140" spans="1:15" x14ac:dyDescent="0.25">
      <c r="A140" t="s">
        <v>175</v>
      </c>
      <c r="B140">
        <v>18</v>
      </c>
      <c r="C140" t="s">
        <v>29</v>
      </c>
      <c r="D140" t="s">
        <v>26</v>
      </c>
      <c r="E140" s="1">
        <v>0.75</v>
      </c>
      <c r="F140" t="s">
        <v>19</v>
      </c>
      <c r="G140" t="s">
        <v>19</v>
      </c>
      <c r="H140" t="s">
        <v>30</v>
      </c>
      <c r="I140">
        <v>12</v>
      </c>
      <c r="J140" t="s">
        <v>37</v>
      </c>
      <c r="K140" t="s">
        <v>20</v>
      </c>
      <c r="L140" t="s">
        <v>20</v>
      </c>
      <c r="M140" t="s">
        <v>19</v>
      </c>
      <c r="N140" t="s">
        <v>19</v>
      </c>
      <c r="O140" t="s">
        <v>40</v>
      </c>
    </row>
    <row r="141" spans="1:15" x14ac:dyDescent="0.25">
      <c r="A141" t="s">
        <v>176</v>
      </c>
      <c r="B141">
        <v>18</v>
      </c>
      <c r="C141" t="s">
        <v>29</v>
      </c>
      <c r="D141" t="s">
        <v>26</v>
      </c>
      <c r="E141" s="1">
        <v>0.75</v>
      </c>
      <c r="F141" t="s">
        <v>19</v>
      </c>
      <c r="G141" t="s">
        <v>20</v>
      </c>
      <c r="H141" t="s">
        <v>30</v>
      </c>
      <c r="I141">
        <v>2</v>
      </c>
      <c r="J141" t="s">
        <v>37</v>
      </c>
      <c r="K141" t="s">
        <v>20</v>
      </c>
      <c r="L141" t="s">
        <v>20</v>
      </c>
      <c r="M141" t="s">
        <v>19</v>
      </c>
      <c r="N141" t="s">
        <v>19</v>
      </c>
      <c r="O141" t="s">
        <v>40</v>
      </c>
    </row>
    <row r="142" spans="1:15" x14ac:dyDescent="0.25">
      <c r="A142" t="s">
        <v>177</v>
      </c>
      <c r="B142" t="s">
        <v>16</v>
      </c>
      <c r="C142" t="s">
        <v>29</v>
      </c>
      <c r="D142" t="s">
        <v>26</v>
      </c>
      <c r="E142" s="1">
        <v>0.5</v>
      </c>
      <c r="F142" t="s">
        <v>19</v>
      </c>
      <c r="G142" t="s">
        <v>19</v>
      </c>
      <c r="H142" t="s">
        <v>21</v>
      </c>
      <c r="I142">
        <v>0</v>
      </c>
      <c r="J142" t="s">
        <v>22</v>
      </c>
      <c r="K142" t="s">
        <v>20</v>
      </c>
      <c r="L142" t="s">
        <v>19</v>
      </c>
      <c r="M142" t="s">
        <v>20</v>
      </c>
      <c r="N142" t="s">
        <v>19</v>
      </c>
      <c r="O142" t="s">
        <v>35</v>
      </c>
    </row>
    <row r="143" spans="1:15" x14ac:dyDescent="0.25">
      <c r="A143" t="s">
        <v>178</v>
      </c>
      <c r="B143">
        <v>18</v>
      </c>
      <c r="C143" t="s">
        <v>29</v>
      </c>
      <c r="D143" t="s">
        <v>26</v>
      </c>
      <c r="E143" s="1">
        <v>0.75</v>
      </c>
      <c r="F143" t="s">
        <v>20</v>
      </c>
      <c r="G143" t="s">
        <v>20</v>
      </c>
      <c r="H143" t="s">
        <v>21</v>
      </c>
      <c r="I143">
        <v>0</v>
      </c>
      <c r="J143" t="s">
        <v>27</v>
      </c>
      <c r="K143" t="s">
        <v>20</v>
      </c>
      <c r="L143" t="s">
        <v>19</v>
      </c>
      <c r="M143" t="s">
        <v>19</v>
      </c>
      <c r="N143" t="s">
        <v>20</v>
      </c>
      <c r="O143" t="s">
        <v>35</v>
      </c>
    </row>
    <row r="144" spans="1:15" x14ac:dyDescent="0.25">
      <c r="A144" t="s">
        <v>179</v>
      </c>
      <c r="B144">
        <v>18</v>
      </c>
      <c r="C144" t="s">
        <v>29</v>
      </c>
      <c r="D144" t="s">
        <v>21</v>
      </c>
      <c r="E144" s="1">
        <v>0.75</v>
      </c>
      <c r="F144" t="s">
        <v>20</v>
      </c>
      <c r="G144" t="s">
        <v>20</v>
      </c>
      <c r="H144" t="s">
        <v>21</v>
      </c>
      <c r="I144">
        <v>0</v>
      </c>
      <c r="J144" t="s">
        <v>22</v>
      </c>
      <c r="K144" t="s">
        <v>19</v>
      </c>
      <c r="L144" t="s">
        <v>20</v>
      </c>
      <c r="M144" t="s">
        <v>20</v>
      </c>
      <c r="N144" t="s">
        <v>20</v>
      </c>
      <c r="O144" t="s">
        <v>23</v>
      </c>
    </row>
    <row r="145" spans="1:15" x14ac:dyDescent="0.25">
      <c r="A145" t="s">
        <v>180</v>
      </c>
      <c r="B145" t="s">
        <v>16</v>
      </c>
      <c r="C145" t="s">
        <v>29</v>
      </c>
      <c r="D145" t="s">
        <v>26</v>
      </c>
      <c r="E145" s="1">
        <v>0.75</v>
      </c>
      <c r="F145" t="s">
        <v>19</v>
      </c>
      <c r="G145" t="s">
        <v>19</v>
      </c>
      <c r="H145" t="s">
        <v>30</v>
      </c>
      <c r="I145">
        <v>12</v>
      </c>
      <c r="J145" t="s">
        <v>37</v>
      </c>
      <c r="K145" t="s">
        <v>20</v>
      </c>
      <c r="L145" t="s">
        <v>19</v>
      </c>
      <c r="M145" t="s">
        <v>20</v>
      </c>
      <c r="N145" t="s">
        <v>19</v>
      </c>
      <c r="O145" t="s">
        <v>77</v>
      </c>
    </row>
    <row r="146" spans="1:15" x14ac:dyDescent="0.25">
      <c r="A146" t="s">
        <v>181</v>
      </c>
      <c r="B146">
        <v>18</v>
      </c>
      <c r="C146" t="s">
        <v>29</v>
      </c>
      <c r="D146" t="s">
        <v>21</v>
      </c>
      <c r="E146" s="1">
        <v>1</v>
      </c>
      <c r="F146" t="s">
        <v>20</v>
      </c>
      <c r="G146" t="s">
        <v>20</v>
      </c>
      <c r="H146" t="s">
        <v>21</v>
      </c>
      <c r="I146">
        <v>12</v>
      </c>
      <c r="J146" t="s">
        <v>22</v>
      </c>
      <c r="K146" t="s">
        <v>19</v>
      </c>
      <c r="L146" t="s">
        <v>20</v>
      </c>
      <c r="M146" t="s">
        <v>19</v>
      </c>
      <c r="N146" t="s">
        <v>20</v>
      </c>
      <c r="O146" t="s">
        <v>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9F6B7-8B15-4F91-980A-BF8CBF661F28}">
  <dimension ref="A3:L196"/>
  <sheetViews>
    <sheetView topLeftCell="A6" workbookViewId="0">
      <selection activeCell="J50" sqref="J50:K54"/>
    </sheetView>
  </sheetViews>
  <sheetFormatPr defaultRowHeight="15" x14ac:dyDescent="0.25"/>
  <cols>
    <col min="1" max="1" width="13.140625" bestFit="1" customWidth="1"/>
    <col min="2" max="2" width="27.140625" bestFit="1" customWidth="1"/>
    <col min="10" max="10" width="13.140625" bestFit="1" customWidth="1"/>
    <col min="11" max="11" width="18" bestFit="1" customWidth="1"/>
    <col min="12" max="12" width="19.42578125" bestFit="1" customWidth="1"/>
  </cols>
  <sheetData>
    <row r="3" spans="1:12" x14ac:dyDescent="0.25">
      <c r="A3" s="3" t="s">
        <v>182</v>
      </c>
      <c r="B3" t="s">
        <v>185</v>
      </c>
      <c r="K3" s="3" t="s">
        <v>182</v>
      </c>
      <c r="L3" t="s">
        <v>189</v>
      </c>
    </row>
    <row r="4" spans="1:12" x14ac:dyDescent="0.25">
      <c r="A4" s="4">
        <v>18</v>
      </c>
      <c r="B4">
        <v>65</v>
      </c>
      <c r="K4" s="4">
        <v>18</v>
      </c>
      <c r="L4">
        <v>65</v>
      </c>
    </row>
    <row r="5" spans="1:12" x14ac:dyDescent="0.25">
      <c r="A5" s="4" t="s">
        <v>16</v>
      </c>
      <c r="B5">
        <v>70</v>
      </c>
      <c r="K5" s="4" t="s">
        <v>16</v>
      </c>
      <c r="L5">
        <v>70</v>
      </c>
    </row>
    <row r="6" spans="1:12" x14ac:dyDescent="0.25">
      <c r="A6" s="4" t="s">
        <v>46</v>
      </c>
      <c r="B6">
        <v>10</v>
      </c>
      <c r="K6" s="4" t="s">
        <v>46</v>
      </c>
      <c r="L6">
        <v>10</v>
      </c>
    </row>
    <row r="7" spans="1:12" x14ac:dyDescent="0.25">
      <c r="A7" s="4" t="s">
        <v>183</v>
      </c>
      <c r="B7">
        <v>145</v>
      </c>
      <c r="K7" s="4" t="s">
        <v>183</v>
      </c>
      <c r="L7">
        <v>145</v>
      </c>
    </row>
    <row r="17" spans="1:12" x14ac:dyDescent="0.25">
      <c r="A17" s="3" t="s">
        <v>182</v>
      </c>
      <c r="B17" t="s">
        <v>187</v>
      </c>
      <c r="K17" s="3" t="s">
        <v>182</v>
      </c>
      <c r="L17" t="s">
        <v>184</v>
      </c>
    </row>
    <row r="18" spans="1:12" x14ac:dyDescent="0.25">
      <c r="A18" s="4" t="s">
        <v>18</v>
      </c>
      <c r="B18">
        <v>17</v>
      </c>
      <c r="K18" s="4" t="s">
        <v>18</v>
      </c>
      <c r="L18">
        <v>17</v>
      </c>
    </row>
    <row r="19" spans="1:12" x14ac:dyDescent="0.25">
      <c r="A19" s="4" t="s">
        <v>21</v>
      </c>
      <c r="B19">
        <v>25</v>
      </c>
      <c r="K19" s="4" t="s">
        <v>21</v>
      </c>
      <c r="L19">
        <v>25</v>
      </c>
    </row>
    <row r="20" spans="1:12" x14ac:dyDescent="0.25">
      <c r="A20" s="4" t="s">
        <v>26</v>
      </c>
      <c r="B20">
        <v>103</v>
      </c>
      <c r="K20" s="4" t="s">
        <v>26</v>
      </c>
      <c r="L20">
        <v>103</v>
      </c>
    </row>
    <row r="21" spans="1:12" x14ac:dyDescent="0.25">
      <c r="A21" s="4" t="s">
        <v>183</v>
      </c>
      <c r="B21">
        <v>145</v>
      </c>
      <c r="K21" s="4" t="s">
        <v>183</v>
      </c>
      <c r="L21">
        <v>145</v>
      </c>
    </row>
    <row r="29" spans="1:12" x14ac:dyDescent="0.25">
      <c r="K29" s="3" t="s">
        <v>182</v>
      </c>
      <c r="L29" t="s">
        <v>192</v>
      </c>
    </row>
    <row r="30" spans="1:12" x14ac:dyDescent="0.25">
      <c r="K30" s="4">
        <v>18</v>
      </c>
      <c r="L30">
        <v>65</v>
      </c>
    </row>
    <row r="31" spans="1:12" x14ac:dyDescent="0.25">
      <c r="A31" s="3" t="s">
        <v>182</v>
      </c>
      <c r="B31" t="s">
        <v>186</v>
      </c>
      <c r="K31" s="4" t="s">
        <v>16</v>
      </c>
      <c r="L31">
        <v>70</v>
      </c>
    </row>
    <row r="32" spans="1:12" x14ac:dyDescent="0.25">
      <c r="A32" s="4" t="s">
        <v>18</v>
      </c>
      <c r="B32">
        <v>62</v>
      </c>
      <c r="K32" s="4" t="s">
        <v>46</v>
      </c>
      <c r="L32">
        <v>10</v>
      </c>
    </row>
    <row r="33" spans="1:12" x14ac:dyDescent="0.25">
      <c r="A33" s="4" t="s">
        <v>21</v>
      </c>
      <c r="B33">
        <v>98</v>
      </c>
      <c r="K33" s="4" t="s">
        <v>183</v>
      </c>
      <c r="L33">
        <v>145</v>
      </c>
    </row>
    <row r="34" spans="1:12" x14ac:dyDescent="0.25">
      <c r="A34" s="4" t="s">
        <v>26</v>
      </c>
      <c r="B34">
        <v>178</v>
      </c>
    </row>
    <row r="35" spans="1:12" x14ac:dyDescent="0.25">
      <c r="A35" s="4" t="s">
        <v>183</v>
      </c>
      <c r="B35">
        <v>338</v>
      </c>
    </row>
    <row r="50" spans="10:11" x14ac:dyDescent="0.25">
      <c r="J50" s="3" t="s">
        <v>182</v>
      </c>
      <c r="K50" t="s">
        <v>193</v>
      </c>
    </row>
    <row r="51" spans="10:11" x14ac:dyDescent="0.25">
      <c r="J51" s="4" t="s">
        <v>15</v>
      </c>
      <c r="K51" s="6">
        <v>0.5</v>
      </c>
    </row>
    <row r="52" spans="10:11" x14ac:dyDescent="0.25">
      <c r="J52" s="4" t="s">
        <v>39</v>
      </c>
      <c r="K52" s="6">
        <v>0.5</v>
      </c>
    </row>
    <row r="53" spans="10:11" x14ac:dyDescent="0.25">
      <c r="J53" s="4" t="s">
        <v>136</v>
      </c>
      <c r="K53" s="6">
        <v>0.5</v>
      </c>
    </row>
    <row r="54" spans="10:11" x14ac:dyDescent="0.25">
      <c r="J54" s="4" t="s">
        <v>137</v>
      </c>
      <c r="K54" s="6">
        <v>0.75</v>
      </c>
    </row>
    <row r="55" spans="10:11" x14ac:dyDescent="0.25">
      <c r="J55" s="4" t="s">
        <v>138</v>
      </c>
      <c r="K55" s="6">
        <v>0.75</v>
      </c>
    </row>
    <row r="56" spans="10:11" x14ac:dyDescent="0.25">
      <c r="J56" s="4" t="s">
        <v>139</v>
      </c>
      <c r="K56" s="6">
        <v>0.5</v>
      </c>
    </row>
    <row r="57" spans="10:11" x14ac:dyDescent="0.25">
      <c r="J57" s="4" t="s">
        <v>140</v>
      </c>
      <c r="K57" s="6">
        <v>0.75</v>
      </c>
    </row>
    <row r="58" spans="10:11" x14ac:dyDescent="0.25">
      <c r="J58" s="4" t="s">
        <v>141</v>
      </c>
      <c r="K58" s="6">
        <v>0.5</v>
      </c>
    </row>
    <row r="59" spans="10:11" x14ac:dyDescent="0.25">
      <c r="J59" s="4" t="s">
        <v>142</v>
      </c>
      <c r="K59" s="6">
        <v>0.75</v>
      </c>
    </row>
    <row r="60" spans="10:11" x14ac:dyDescent="0.25">
      <c r="J60" s="4" t="s">
        <v>143</v>
      </c>
      <c r="K60" s="6">
        <v>0.75</v>
      </c>
    </row>
    <row r="61" spans="10:11" x14ac:dyDescent="0.25">
      <c r="J61" s="4" t="s">
        <v>144</v>
      </c>
      <c r="K61" s="6">
        <v>0.75</v>
      </c>
    </row>
    <row r="62" spans="10:11" x14ac:dyDescent="0.25">
      <c r="J62" s="4" t="s">
        <v>145</v>
      </c>
      <c r="K62" s="6">
        <v>1</v>
      </c>
    </row>
    <row r="63" spans="10:11" x14ac:dyDescent="0.25">
      <c r="J63" s="4" t="s">
        <v>41</v>
      </c>
      <c r="K63" s="6">
        <v>0.5</v>
      </c>
    </row>
    <row r="64" spans="10:11" x14ac:dyDescent="0.25">
      <c r="J64" s="4" t="s">
        <v>146</v>
      </c>
      <c r="K64" s="6">
        <v>0.5</v>
      </c>
    </row>
    <row r="65" spans="10:11" x14ac:dyDescent="0.25">
      <c r="J65" s="4" t="s">
        <v>147</v>
      </c>
      <c r="K65" s="6">
        <v>0.5</v>
      </c>
    </row>
    <row r="66" spans="10:11" x14ac:dyDescent="0.25">
      <c r="J66" s="4" t="s">
        <v>148</v>
      </c>
      <c r="K66" s="6">
        <v>1</v>
      </c>
    </row>
    <row r="67" spans="10:11" x14ac:dyDescent="0.25">
      <c r="J67" s="4" t="s">
        <v>149</v>
      </c>
      <c r="K67" s="6">
        <v>0.5</v>
      </c>
    </row>
    <row r="68" spans="10:11" x14ac:dyDescent="0.25">
      <c r="J68" s="4" t="s">
        <v>150</v>
      </c>
      <c r="K68" s="6">
        <v>0.5</v>
      </c>
    </row>
    <row r="69" spans="10:11" x14ac:dyDescent="0.25">
      <c r="J69" s="4" t="s">
        <v>151</v>
      </c>
      <c r="K69" s="6">
        <v>1</v>
      </c>
    </row>
    <row r="70" spans="10:11" x14ac:dyDescent="0.25">
      <c r="J70" s="4" t="s">
        <v>152</v>
      </c>
      <c r="K70" s="6">
        <v>1</v>
      </c>
    </row>
    <row r="71" spans="10:11" x14ac:dyDescent="0.25">
      <c r="J71" s="4" t="s">
        <v>153</v>
      </c>
      <c r="K71" s="6">
        <v>1</v>
      </c>
    </row>
    <row r="72" spans="10:11" x14ac:dyDescent="0.25">
      <c r="J72" s="4" t="s">
        <v>154</v>
      </c>
      <c r="K72" s="6">
        <v>0.5</v>
      </c>
    </row>
    <row r="73" spans="10:11" x14ac:dyDescent="0.25">
      <c r="J73" s="4" t="s">
        <v>155</v>
      </c>
      <c r="K73" s="6">
        <v>1</v>
      </c>
    </row>
    <row r="74" spans="10:11" x14ac:dyDescent="0.25">
      <c r="J74" s="4" t="s">
        <v>42</v>
      </c>
      <c r="K74" s="6">
        <v>0.75</v>
      </c>
    </row>
    <row r="75" spans="10:11" x14ac:dyDescent="0.25">
      <c r="J75" s="4" t="s">
        <v>156</v>
      </c>
      <c r="K75" s="6">
        <v>0.75</v>
      </c>
    </row>
    <row r="76" spans="10:11" x14ac:dyDescent="0.25">
      <c r="J76" s="4" t="s">
        <v>157</v>
      </c>
      <c r="K76" s="6">
        <v>0.5</v>
      </c>
    </row>
    <row r="77" spans="10:11" x14ac:dyDescent="0.25">
      <c r="J77" s="4" t="s">
        <v>158</v>
      </c>
      <c r="K77" s="6">
        <v>0.5</v>
      </c>
    </row>
    <row r="78" spans="10:11" x14ac:dyDescent="0.25">
      <c r="J78" s="4" t="s">
        <v>159</v>
      </c>
      <c r="K78" s="6">
        <v>1</v>
      </c>
    </row>
    <row r="79" spans="10:11" x14ac:dyDescent="0.25">
      <c r="J79" s="4" t="s">
        <v>160</v>
      </c>
      <c r="K79" s="6">
        <v>0.5</v>
      </c>
    </row>
    <row r="80" spans="10:11" x14ac:dyDescent="0.25">
      <c r="J80" s="4" t="s">
        <v>161</v>
      </c>
      <c r="K80" s="6">
        <v>0.75</v>
      </c>
    </row>
    <row r="81" spans="10:11" x14ac:dyDescent="0.25">
      <c r="J81" s="4" t="s">
        <v>162</v>
      </c>
      <c r="K81" s="6">
        <v>1</v>
      </c>
    </row>
    <row r="82" spans="10:11" x14ac:dyDescent="0.25">
      <c r="J82" s="4" t="s">
        <v>163</v>
      </c>
      <c r="K82" s="6">
        <v>0.75</v>
      </c>
    </row>
    <row r="83" spans="10:11" x14ac:dyDescent="0.25">
      <c r="J83" s="4" t="s">
        <v>164</v>
      </c>
      <c r="K83" s="6">
        <v>0.75</v>
      </c>
    </row>
    <row r="84" spans="10:11" x14ac:dyDescent="0.25">
      <c r="J84" s="4" t="s">
        <v>165</v>
      </c>
      <c r="K84" s="6">
        <v>0.75</v>
      </c>
    </row>
    <row r="85" spans="10:11" x14ac:dyDescent="0.25">
      <c r="J85" s="4" t="s">
        <v>43</v>
      </c>
      <c r="K85" s="6">
        <v>0.75</v>
      </c>
    </row>
    <row r="86" spans="10:11" x14ac:dyDescent="0.25">
      <c r="J86" s="4" t="s">
        <v>166</v>
      </c>
      <c r="K86" s="6">
        <v>0.5</v>
      </c>
    </row>
    <row r="87" spans="10:11" x14ac:dyDescent="0.25">
      <c r="J87" s="4" t="s">
        <v>167</v>
      </c>
      <c r="K87" s="6">
        <v>0.5</v>
      </c>
    </row>
    <row r="88" spans="10:11" x14ac:dyDescent="0.25">
      <c r="J88" s="4" t="s">
        <v>168</v>
      </c>
      <c r="K88" s="6">
        <v>1</v>
      </c>
    </row>
    <row r="89" spans="10:11" x14ac:dyDescent="0.25">
      <c r="J89" s="4" t="s">
        <v>169</v>
      </c>
      <c r="K89" s="6">
        <v>1</v>
      </c>
    </row>
    <row r="90" spans="10:11" x14ac:dyDescent="0.25">
      <c r="J90" s="4" t="s">
        <v>170</v>
      </c>
      <c r="K90" s="6">
        <v>1</v>
      </c>
    </row>
    <row r="91" spans="10:11" x14ac:dyDescent="0.25">
      <c r="J91" s="4" t="s">
        <v>171</v>
      </c>
      <c r="K91" s="6">
        <v>0.75</v>
      </c>
    </row>
    <row r="92" spans="10:11" x14ac:dyDescent="0.25">
      <c r="J92" s="4" t="s">
        <v>172</v>
      </c>
      <c r="K92" s="6">
        <v>0.5</v>
      </c>
    </row>
    <row r="93" spans="10:11" x14ac:dyDescent="0.25">
      <c r="J93" s="4" t="s">
        <v>173</v>
      </c>
      <c r="K93" s="6">
        <v>0.5</v>
      </c>
    </row>
    <row r="94" spans="10:11" x14ac:dyDescent="0.25">
      <c r="J94" s="4" t="s">
        <v>174</v>
      </c>
      <c r="K94" s="6">
        <v>1</v>
      </c>
    </row>
    <row r="95" spans="10:11" x14ac:dyDescent="0.25">
      <c r="J95" s="4" t="s">
        <v>175</v>
      </c>
      <c r="K95" s="6">
        <v>0.75</v>
      </c>
    </row>
    <row r="96" spans="10:11" x14ac:dyDescent="0.25">
      <c r="J96" s="4" t="s">
        <v>44</v>
      </c>
      <c r="K96" s="6">
        <v>1</v>
      </c>
    </row>
    <row r="97" spans="10:11" x14ac:dyDescent="0.25">
      <c r="J97" s="4" t="s">
        <v>176</v>
      </c>
      <c r="K97" s="6">
        <v>0.75</v>
      </c>
    </row>
    <row r="98" spans="10:11" x14ac:dyDescent="0.25">
      <c r="J98" s="4" t="s">
        <v>177</v>
      </c>
      <c r="K98" s="6">
        <v>0.5</v>
      </c>
    </row>
    <row r="99" spans="10:11" x14ac:dyDescent="0.25">
      <c r="J99" s="4" t="s">
        <v>178</v>
      </c>
      <c r="K99" s="6">
        <v>0.75</v>
      </c>
    </row>
    <row r="100" spans="10:11" x14ac:dyDescent="0.25">
      <c r="J100" s="4" t="s">
        <v>179</v>
      </c>
      <c r="K100" s="6">
        <v>0.75</v>
      </c>
    </row>
    <row r="101" spans="10:11" x14ac:dyDescent="0.25">
      <c r="J101" s="4" t="s">
        <v>180</v>
      </c>
      <c r="K101" s="6">
        <v>0.75</v>
      </c>
    </row>
    <row r="102" spans="10:11" x14ac:dyDescent="0.25">
      <c r="J102" s="4" t="s">
        <v>181</v>
      </c>
      <c r="K102" s="6">
        <v>1</v>
      </c>
    </row>
    <row r="103" spans="10:11" x14ac:dyDescent="0.25">
      <c r="J103" s="4" t="s">
        <v>45</v>
      </c>
      <c r="K103" s="6">
        <v>0.75</v>
      </c>
    </row>
    <row r="104" spans="10:11" x14ac:dyDescent="0.25">
      <c r="J104" s="4" t="s">
        <v>47</v>
      </c>
      <c r="K104" s="6">
        <v>0.5</v>
      </c>
    </row>
    <row r="105" spans="10:11" x14ac:dyDescent="0.25">
      <c r="J105" s="4" t="s">
        <v>48</v>
      </c>
      <c r="K105" s="6">
        <v>1</v>
      </c>
    </row>
    <row r="106" spans="10:11" x14ac:dyDescent="0.25">
      <c r="J106" s="4" t="s">
        <v>49</v>
      </c>
      <c r="K106" s="6">
        <v>0.5</v>
      </c>
    </row>
    <row r="107" spans="10:11" x14ac:dyDescent="0.25">
      <c r="J107" s="4" t="s">
        <v>50</v>
      </c>
      <c r="K107" s="6">
        <v>0.75</v>
      </c>
    </row>
    <row r="108" spans="10:11" x14ac:dyDescent="0.25">
      <c r="J108" s="4" t="s">
        <v>24</v>
      </c>
      <c r="K108" s="6">
        <v>0.5</v>
      </c>
    </row>
    <row r="109" spans="10:11" x14ac:dyDescent="0.25">
      <c r="J109" s="4" t="s">
        <v>51</v>
      </c>
      <c r="K109" s="6">
        <v>0.5</v>
      </c>
    </row>
    <row r="110" spans="10:11" x14ac:dyDescent="0.25">
      <c r="J110" s="4" t="s">
        <v>53</v>
      </c>
      <c r="K110" s="6">
        <v>1</v>
      </c>
    </row>
    <row r="111" spans="10:11" x14ac:dyDescent="0.25">
      <c r="J111" s="4" t="s">
        <v>54</v>
      </c>
      <c r="K111" s="6">
        <v>1</v>
      </c>
    </row>
    <row r="112" spans="10:11" x14ac:dyDescent="0.25">
      <c r="J112" s="4" t="s">
        <v>55</v>
      </c>
      <c r="K112" s="6">
        <v>0.5</v>
      </c>
    </row>
    <row r="113" spans="10:11" x14ac:dyDescent="0.25">
      <c r="J113" s="4" t="s">
        <v>56</v>
      </c>
      <c r="K113" s="6">
        <v>0.25</v>
      </c>
    </row>
    <row r="114" spans="10:11" x14ac:dyDescent="0.25">
      <c r="J114" s="4" t="s">
        <v>57</v>
      </c>
      <c r="K114" s="6">
        <v>0.5</v>
      </c>
    </row>
    <row r="115" spans="10:11" x14ac:dyDescent="0.25">
      <c r="J115" s="4" t="s">
        <v>58</v>
      </c>
      <c r="K115" s="6">
        <v>0.5</v>
      </c>
    </row>
    <row r="116" spans="10:11" x14ac:dyDescent="0.25">
      <c r="J116" s="4" t="s">
        <v>59</v>
      </c>
      <c r="K116" s="6">
        <v>0.5</v>
      </c>
    </row>
    <row r="117" spans="10:11" x14ac:dyDescent="0.25">
      <c r="J117" s="4" t="s">
        <v>60</v>
      </c>
      <c r="K117" s="6">
        <v>0.5</v>
      </c>
    </row>
    <row r="118" spans="10:11" x14ac:dyDescent="0.25">
      <c r="J118" s="4" t="s">
        <v>61</v>
      </c>
      <c r="K118" s="6">
        <v>0.5</v>
      </c>
    </row>
    <row r="119" spans="10:11" x14ac:dyDescent="0.25">
      <c r="J119" s="4" t="s">
        <v>25</v>
      </c>
      <c r="K119" s="6">
        <v>0.5</v>
      </c>
    </row>
    <row r="120" spans="10:11" x14ac:dyDescent="0.25">
      <c r="J120" s="4" t="s">
        <v>62</v>
      </c>
      <c r="K120" s="6">
        <v>0.75</v>
      </c>
    </row>
    <row r="121" spans="10:11" x14ac:dyDescent="0.25">
      <c r="J121" s="4" t="s">
        <v>63</v>
      </c>
      <c r="K121" s="6">
        <v>1</v>
      </c>
    </row>
    <row r="122" spans="10:11" x14ac:dyDescent="0.25">
      <c r="J122" s="4" t="s">
        <v>64</v>
      </c>
      <c r="K122" s="6">
        <v>0.5</v>
      </c>
    </row>
    <row r="123" spans="10:11" x14ac:dyDescent="0.25">
      <c r="J123" s="4" t="s">
        <v>65</v>
      </c>
      <c r="K123" s="6">
        <v>0.5</v>
      </c>
    </row>
    <row r="124" spans="10:11" x14ac:dyDescent="0.25">
      <c r="J124" s="4" t="s">
        <v>66</v>
      </c>
      <c r="K124" s="6">
        <v>0.5</v>
      </c>
    </row>
    <row r="125" spans="10:11" x14ac:dyDescent="0.25">
      <c r="J125" s="4" t="s">
        <v>67</v>
      </c>
      <c r="K125" s="6">
        <v>0.5</v>
      </c>
    </row>
    <row r="126" spans="10:11" x14ac:dyDescent="0.25">
      <c r="J126" s="4" t="s">
        <v>68</v>
      </c>
      <c r="K126" s="6">
        <v>0.75</v>
      </c>
    </row>
    <row r="127" spans="10:11" x14ac:dyDescent="0.25">
      <c r="J127" s="4" t="s">
        <v>69</v>
      </c>
      <c r="K127" s="6">
        <v>0.75</v>
      </c>
    </row>
    <row r="128" spans="10:11" x14ac:dyDescent="0.25">
      <c r="J128" s="4" t="s">
        <v>70</v>
      </c>
      <c r="K128" s="6">
        <v>0.5</v>
      </c>
    </row>
    <row r="129" spans="10:11" x14ac:dyDescent="0.25">
      <c r="J129" s="4" t="s">
        <v>71</v>
      </c>
      <c r="K129" s="6">
        <v>1</v>
      </c>
    </row>
    <row r="130" spans="10:11" x14ac:dyDescent="0.25">
      <c r="J130" s="4" t="s">
        <v>28</v>
      </c>
      <c r="K130" s="6">
        <v>0.5</v>
      </c>
    </row>
    <row r="131" spans="10:11" x14ac:dyDescent="0.25">
      <c r="J131" s="4" t="s">
        <v>72</v>
      </c>
      <c r="K131" s="6">
        <v>0.5</v>
      </c>
    </row>
    <row r="132" spans="10:11" x14ac:dyDescent="0.25">
      <c r="J132" s="4" t="s">
        <v>73</v>
      </c>
      <c r="K132" s="6">
        <v>0.5</v>
      </c>
    </row>
    <row r="133" spans="10:11" x14ac:dyDescent="0.25">
      <c r="J133" s="4" t="s">
        <v>74</v>
      </c>
      <c r="K133" s="6">
        <v>0.5</v>
      </c>
    </row>
    <row r="134" spans="10:11" x14ac:dyDescent="0.25">
      <c r="J134" s="4" t="s">
        <v>75</v>
      </c>
      <c r="K134" s="6">
        <v>0.5</v>
      </c>
    </row>
    <row r="135" spans="10:11" x14ac:dyDescent="0.25">
      <c r="J135" s="4" t="s">
        <v>76</v>
      </c>
      <c r="K135" s="6">
        <v>0.5</v>
      </c>
    </row>
    <row r="136" spans="10:11" x14ac:dyDescent="0.25">
      <c r="J136" s="4" t="s">
        <v>78</v>
      </c>
      <c r="K136" s="6">
        <v>0.5</v>
      </c>
    </row>
    <row r="137" spans="10:11" x14ac:dyDescent="0.25">
      <c r="J137" s="4" t="s">
        <v>79</v>
      </c>
      <c r="K137" s="6">
        <v>0.5</v>
      </c>
    </row>
    <row r="138" spans="10:11" x14ac:dyDescent="0.25">
      <c r="J138" s="4" t="s">
        <v>80</v>
      </c>
      <c r="K138" s="6">
        <v>0.5</v>
      </c>
    </row>
    <row r="139" spans="10:11" x14ac:dyDescent="0.25">
      <c r="J139" s="4" t="s">
        <v>81</v>
      </c>
      <c r="K139" s="6">
        <v>0.5</v>
      </c>
    </row>
    <row r="140" spans="10:11" x14ac:dyDescent="0.25">
      <c r="J140" s="4" t="s">
        <v>82</v>
      </c>
      <c r="K140" s="6">
        <v>0.5</v>
      </c>
    </row>
    <row r="141" spans="10:11" x14ac:dyDescent="0.25">
      <c r="J141" s="4" t="s">
        <v>31</v>
      </c>
      <c r="K141" s="6">
        <v>0.5</v>
      </c>
    </row>
    <row r="142" spans="10:11" x14ac:dyDescent="0.25">
      <c r="J142" s="4" t="s">
        <v>83</v>
      </c>
      <c r="K142" s="6">
        <v>0.75</v>
      </c>
    </row>
    <row r="143" spans="10:11" x14ac:dyDescent="0.25">
      <c r="J143" s="4" t="s">
        <v>84</v>
      </c>
      <c r="K143" s="6">
        <v>0.5</v>
      </c>
    </row>
    <row r="144" spans="10:11" x14ac:dyDescent="0.25">
      <c r="J144" s="4" t="s">
        <v>85</v>
      </c>
      <c r="K144" s="6">
        <v>0.5</v>
      </c>
    </row>
    <row r="145" spans="10:11" x14ac:dyDescent="0.25">
      <c r="J145" s="4" t="s">
        <v>86</v>
      </c>
      <c r="K145" s="6">
        <v>0.5</v>
      </c>
    </row>
    <row r="146" spans="10:11" x14ac:dyDescent="0.25">
      <c r="J146" s="4" t="s">
        <v>87</v>
      </c>
      <c r="K146" s="6">
        <v>0.5</v>
      </c>
    </row>
    <row r="147" spans="10:11" x14ac:dyDescent="0.25">
      <c r="J147" s="4" t="s">
        <v>88</v>
      </c>
      <c r="K147" s="6">
        <v>0.5</v>
      </c>
    </row>
    <row r="148" spans="10:11" x14ac:dyDescent="0.25">
      <c r="J148" s="4" t="s">
        <v>89</v>
      </c>
      <c r="K148" s="6">
        <v>0.5</v>
      </c>
    </row>
    <row r="149" spans="10:11" x14ac:dyDescent="0.25">
      <c r="J149" s="4" t="s">
        <v>90</v>
      </c>
      <c r="K149" s="6">
        <v>0.5</v>
      </c>
    </row>
    <row r="150" spans="10:11" x14ac:dyDescent="0.25">
      <c r="J150" s="4" t="s">
        <v>91</v>
      </c>
      <c r="K150" s="6">
        <v>0.5</v>
      </c>
    </row>
    <row r="151" spans="10:11" x14ac:dyDescent="0.25">
      <c r="J151" s="4" t="s">
        <v>92</v>
      </c>
      <c r="K151" s="6">
        <v>0.5</v>
      </c>
    </row>
    <row r="152" spans="10:11" x14ac:dyDescent="0.25">
      <c r="J152" s="4" t="s">
        <v>32</v>
      </c>
      <c r="K152" s="6">
        <v>0.5</v>
      </c>
    </row>
    <row r="153" spans="10:11" x14ac:dyDescent="0.25">
      <c r="J153" s="4" t="s">
        <v>93</v>
      </c>
      <c r="K153" s="6">
        <v>0.5</v>
      </c>
    </row>
    <row r="154" spans="10:11" x14ac:dyDescent="0.25">
      <c r="J154" s="4" t="s">
        <v>94</v>
      </c>
      <c r="K154" s="6">
        <v>0.5</v>
      </c>
    </row>
    <row r="155" spans="10:11" x14ac:dyDescent="0.25">
      <c r="J155" s="4" t="s">
        <v>95</v>
      </c>
      <c r="K155" s="6">
        <v>0.5</v>
      </c>
    </row>
    <row r="156" spans="10:11" x14ac:dyDescent="0.25">
      <c r="J156" s="4" t="s">
        <v>96</v>
      </c>
      <c r="K156" s="6">
        <v>0.5</v>
      </c>
    </row>
    <row r="157" spans="10:11" x14ac:dyDescent="0.25">
      <c r="J157" s="4" t="s">
        <v>97</v>
      </c>
      <c r="K157" s="6">
        <v>0.75</v>
      </c>
    </row>
    <row r="158" spans="10:11" x14ac:dyDescent="0.25">
      <c r="J158" s="4" t="s">
        <v>98</v>
      </c>
      <c r="K158" s="6">
        <v>1</v>
      </c>
    </row>
    <row r="159" spans="10:11" x14ac:dyDescent="0.25">
      <c r="J159" s="4" t="s">
        <v>99</v>
      </c>
      <c r="K159" s="6">
        <v>0.5</v>
      </c>
    </row>
    <row r="160" spans="10:11" x14ac:dyDescent="0.25">
      <c r="J160" s="4" t="s">
        <v>100</v>
      </c>
      <c r="K160" s="6">
        <v>0.5</v>
      </c>
    </row>
    <row r="161" spans="10:11" x14ac:dyDescent="0.25">
      <c r="J161" s="4" t="s">
        <v>101</v>
      </c>
      <c r="K161" s="6">
        <v>0.5</v>
      </c>
    </row>
    <row r="162" spans="10:11" x14ac:dyDescent="0.25">
      <c r="J162" s="4" t="s">
        <v>102</v>
      </c>
      <c r="K162" s="6">
        <v>0.75</v>
      </c>
    </row>
    <row r="163" spans="10:11" x14ac:dyDescent="0.25">
      <c r="J163" s="4" t="s">
        <v>34</v>
      </c>
      <c r="K163" s="6">
        <v>0.75</v>
      </c>
    </row>
    <row r="164" spans="10:11" x14ac:dyDescent="0.25">
      <c r="J164" s="4" t="s">
        <v>103</v>
      </c>
      <c r="K164" s="6">
        <v>0.75</v>
      </c>
    </row>
    <row r="165" spans="10:11" x14ac:dyDescent="0.25">
      <c r="J165" s="4" t="s">
        <v>104</v>
      </c>
      <c r="K165" s="6">
        <v>0.75</v>
      </c>
    </row>
    <row r="166" spans="10:11" x14ac:dyDescent="0.25">
      <c r="J166" s="4" t="s">
        <v>106</v>
      </c>
      <c r="K166" s="6">
        <v>0.75</v>
      </c>
    </row>
    <row r="167" spans="10:11" x14ac:dyDescent="0.25">
      <c r="J167" s="4" t="s">
        <v>108</v>
      </c>
      <c r="K167" s="6">
        <v>0.5</v>
      </c>
    </row>
    <row r="168" spans="10:11" x14ac:dyDescent="0.25">
      <c r="J168" s="4" t="s">
        <v>109</v>
      </c>
      <c r="K168" s="6">
        <v>0.75</v>
      </c>
    </row>
    <row r="169" spans="10:11" x14ac:dyDescent="0.25">
      <c r="J169" s="4" t="s">
        <v>110</v>
      </c>
      <c r="K169" s="6">
        <v>0.75</v>
      </c>
    </row>
    <row r="170" spans="10:11" x14ac:dyDescent="0.25">
      <c r="J170" s="4" t="s">
        <v>111</v>
      </c>
      <c r="K170" s="6">
        <v>0.75</v>
      </c>
    </row>
    <row r="171" spans="10:11" x14ac:dyDescent="0.25">
      <c r="J171" s="4" t="s">
        <v>112</v>
      </c>
      <c r="K171" s="6">
        <v>0.25</v>
      </c>
    </row>
    <row r="172" spans="10:11" x14ac:dyDescent="0.25">
      <c r="J172" s="4" t="s">
        <v>113</v>
      </c>
      <c r="K172" s="6">
        <v>0.25</v>
      </c>
    </row>
    <row r="173" spans="10:11" x14ac:dyDescent="0.25">
      <c r="J173" s="4" t="s">
        <v>114</v>
      </c>
      <c r="K173" s="6">
        <v>0.75</v>
      </c>
    </row>
    <row r="174" spans="10:11" x14ac:dyDescent="0.25">
      <c r="J174" s="4" t="s">
        <v>36</v>
      </c>
      <c r="K174" s="6">
        <v>0.5</v>
      </c>
    </row>
    <row r="175" spans="10:11" x14ac:dyDescent="0.25">
      <c r="J175" s="4" t="s">
        <v>115</v>
      </c>
      <c r="K175" s="6">
        <v>0.75</v>
      </c>
    </row>
    <row r="176" spans="10:11" x14ac:dyDescent="0.25">
      <c r="J176" s="4" t="s">
        <v>116</v>
      </c>
      <c r="K176" s="6">
        <v>0.5</v>
      </c>
    </row>
    <row r="177" spans="10:11" x14ac:dyDescent="0.25">
      <c r="J177" s="4" t="s">
        <v>117</v>
      </c>
      <c r="K177" s="6">
        <v>0.5</v>
      </c>
    </row>
    <row r="178" spans="10:11" x14ac:dyDescent="0.25">
      <c r="J178" s="4" t="s">
        <v>118</v>
      </c>
      <c r="K178" s="6">
        <v>0.75</v>
      </c>
    </row>
    <row r="179" spans="10:11" x14ac:dyDescent="0.25">
      <c r="J179" s="4" t="s">
        <v>119</v>
      </c>
      <c r="K179" s="6">
        <v>0.5</v>
      </c>
    </row>
    <row r="180" spans="10:11" x14ac:dyDescent="0.25">
      <c r="J180" s="4" t="s">
        <v>120</v>
      </c>
      <c r="K180" s="6">
        <v>0.5</v>
      </c>
    </row>
    <row r="181" spans="10:11" x14ac:dyDescent="0.25">
      <c r="J181" s="4" t="s">
        <v>121</v>
      </c>
      <c r="K181" s="6">
        <v>1</v>
      </c>
    </row>
    <row r="182" spans="10:11" x14ac:dyDescent="0.25">
      <c r="J182" s="4" t="s">
        <v>122</v>
      </c>
      <c r="K182" s="6">
        <v>0.75</v>
      </c>
    </row>
    <row r="183" spans="10:11" x14ac:dyDescent="0.25">
      <c r="J183" s="4" t="s">
        <v>123</v>
      </c>
      <c r="K183" s="6">
        <v>0.5</v>
      </c>
    </row>
    <row r="184" spans="10:11" x14ac:dyDescent="0.25">
      <c r="J184" s="4" t="s">
        <v>124</v>
      </c>
      <c r="K184" s="6">
        <v>0.75</v>
      </c>
    </row>
    <row r="185" spans="10:11" x14ac:dyDescent="0.25">
      <c r="J185" s="4" t="s">
        <v>38</v>
      </c>
      <c r="K185" s="6">
        <v>0.5</v>
      </c>
    </row>
    <row r="186" spans="10:11" x14ac:dyDescent="0.25">
      <c r="J186" s="4" t="s">
        <v>125</v>
      </c>
      <c r="K186" s="6">
        <v>0.5</v>
      </c>
    </row>
    <row r="187" spans="10:11" x14ac:dyDescent="0.25">
      <c r="J187" s="4" t="s">
        <v>126</v>
      </c>
      <c r="K187" s="6">
        <v>0.5</v>
      </c>
    </row>
    <row r="188" spans="10:11" x14ac:dyDescent="0.25">
      <c r="J188" s="4" t="s">
        <v>127</v>
      </c>
      <c r="K188" s="6">
        <v>1</v>
      </c>
    </row>
    <row r="189" spans="10:11" x14ac:dyDescent="0.25">
      <c r="J189" s="4" t="s">
        <v>128</v>
      </c>
      <c r="K189" s="6">
        <v>0.5</v>
      </c>
    </row>
    <row r="190" spans="10:11" x14ac:dyDescent="0.25">
      <c r="J190" s="4" t="s">
        <v>129</v>
      </c>
      <c r="K190" s="6">
        <v>0</v>
      </c>
    </row>
    <row r="191" spans="10:11" x14ac:dyDescent="0.25">
      <c r="J191" s="4" t="s">
        <v>131</v>
      </c>
      <c r="K191" s="6">
        <v>0.5</v>
      </c>
    </row>
    <row r="192" spans="10:11" x14ac:dyDescent="0.25">
      <c r="J192" s="4" t="s">
        <v>132</v>
      </c>
      <c r="K192" s="6">
        <v>1</v>
      </c>
    </row>
    <row r="193" spans="10:11" x14ac:dyDescent="0.25">
      <c r="J193" s="4" t="s">
        <v>133</v>
      </c>
      <c r="K193" s="6">
        <v>0.75</v>
      </c>
    </row>
    <row r="194" spans="10:11" x14ac:dyDescent="0.25">
      <c r="J194" s="4" t="s">
        <v>134</v>
      </c>
      <c r="K194" s="6">
        <v>0.75</v>
      </c>
    </row>
    <row r="195" spans="10:11" x14ac:dyDescent="0.25">
      <c r="J195" s="4" t="s">
        <v>135</v>
      </c>
      <c r="K195" s="6">
        <v>0.75</v>
      </c>
    </row>
    <row r="196" spans="10:11" x14ac:dyDescent="0.25">
      <c r="J196" s="4" t="s">
        <v>183</v>
      </c>
      <c r="K196" s="6">
        <v>93.25</v>
      </c>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20094-6E86-45D6-8949-EB456710CA51}">
  <dimension ref="A1:I8"/>
  <sheetViews>
    <sheetView workbookViewId="0">
      <selection activeCell="I4" sqref="I4"/>
    </sheetView>
  </sheetViews>
  <sheetFormatPr defaultRowHeight="15" x14ac:dyDescent="0.25"/>
  <cols>
    <col min="1" max="1" width="19.140625" bestFit="1" customWidth="1"/>
    <col min="7" max="7" width="13.140625" bestFit="1" customWidth="1"/>
    <col min="8" max="8" width="22.42578125" bestFit="1" customWidth="1"/>
    <col min="9" max="9" width="13.140625" bestFit="1" customWidth="1"/>
  </cols>
  <sheetData>
    <row r="1" spans="1:9" ht="15.75" x14ac:dyDescent="0.25">
      <c r="A1" s="5" t="s">
        <v>190</v>
      </c>
      <c r="G1" s="5" t="s">
        <v>3</v>
      </c>
      <c r="I1" s="5" t="s">
        <v>7</v>
      </c>
    </row>
    <row r="2" spans="1:9" x14ac:dyDescent="0.25">
      <c r="A2">
        <f>GETPIVOTDATA("Student_ID",$A$3)</f>
        <v>145</v>
      </c>
    </row>
    <row r="3" spans="1:9" x14ac:dyDescent="0.25">
      <c r="A3" t="s">
        <v>191</v>
      </c>
      <c r="G3">
        <f>COUNTA(G5:G7)</f>
        <v>3</v>
      </c>
      <c r="I3">
        <f>COUNTA(I5:I6)</f>
        <v>2</v>
      </c>
    </row>
    <row r="4" spans="1:9" x14ac:dyDescent="0.25">
      <c r="A4">
        <v>145</v>
      </c>
      <c r="G4" s="3" t="s">
        <v>182</v>
      </c>
      <c r="I4" s="3" t="s">
        <v>182</v>
      </c>
    </row>
    <row r="5" spans="1:9" x14ac:dyDescent="0.25">
      <c r="G5" s="4" t="s">
        <v>18</v>
      </c>
      <c r="I5" s="4" t="s">
        <v>30</v>
      </c>
    </row>
    <row r="6" spans="1:9" x14ac:dyDescent="0.25">
      <c r="G6" s="4" t="s">
        <v>21</v>
      </c>
      <c r="I6" s="4" t="s">
        <v>21</v>
      </c>
    </row>
    <row r="7" spans="1:9" x14ac:dyDescent="0.25">
      <c r="G7" s="4" t="s">
        <v>26</v>
      </c>
      <c r="I7" s="4" t="s">
        <v>183</v>
      </c>
    </row>
    <row r="8" spans="1:9" x14ac:dyDescent="0.25">
      <c r="G8" s="4" t="s">
        <v>183</v>
      </c>
    </row>
  </sheetData>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C0247-7C98-4D22-B5DE-29A63AB8E523}">
  <dimension ref="B1:W26"/>
  <sheetViews>
    <sheetView showGridLines="0" tabSelected="1" workbookViewId="0">
      <selection activeCell="A24" sqref="A24"/>
    </sheetView>
  </sheetViews>
  <sheetFormatPr defaultRowHeight="15" x14ac:dyDescent="0.25"/>
  <cols>
    <col min="1" max="1" width="2.85546875" customWidth="1"/>
    <col min="23" max="23" width="24" bestFit="1" customWidth="1"/>
  </cols>
  <sheetData>
    <row r="1" spans="2:23" ht="9.75" customHeight="1" thickBot="1" x14ac:dyDescent="0.3"/>
    <row r="2" spans="2:23" x14ac:dyDescent="0.25">
      <c r="B2" s="8"/>
      <c r="C2" s="9"/>
      <c r="D2" s="9"/>
      <c r="E2" s="9"/>
      <c r="F2" s="9"/>
      <c r="G2" s="9"/>
      <c r="H2" s="9"/>
      <c r="I2" s="9"/>
      <c r="J2" s="9"/>
      <c r="K2" s="9"/>
      <c r="L2" s="9"/>
      <c r="M2" s="9"/>
      <c r="N2" s="9"/>
      <c r="O2" s="9"/>
      <c r="P2" s="9"/>
      <c r="Q2" s="9"/>
      <c r="R2" s="9"/>
      <c r="S2" s="9"/>
      <c r="T2" s="9"/>
      <c r="U2" s="10"/>
    </row>
    <row r="3" spans="2:23" x14ac:dyDescent="0.25">
      <c r="B3" s="11"/>
      <c r="U3" s="12"/>
    </row>
    <row r="4" spans="2:23" x14ac:dyDescent="0.25">
      <c r="B4" s="11"/>
      <c r="U4" s="12"/>
    </row>
    <row r="5" spans="2:23" x14ac:dyDescent="0.25">
      <c r="B5" s="11"/>
      <c r="U5" s="12"/>
      <c r="W5" s="7" t="s">
        <v>194</v>
      </c>
    </row>
    <row r="6" spans="2:23" x14ac:dyDescent="0.25">
      <c r="B6" s="11"/>
      <c r="U6" s="12"/>
    </row>
    <row r="7" spans="2:23" x14ac:dyDescent="0.25">
      <c r="B7" s="11"/>
      <c r="U7" s="12"/>
    </row>
    <row r="8" spans="2:23" x14ac:dyDescent="0.25">
      <c r="B8" s="11"/>
      <c r="U8" s="12"/>
    </row>
    <row r="9" spans="2:23" x14ac:dyDescent="0.25">
      <c r="B9" s="11"/>
      <c r="U9" s="12"/>
    </row>
    <row r="10" spans="2:23" x14ac:dyDescent="0.25">
      <c r="B10" s="11"/>
      <c r="U10" s="12"/>
    </row>
    <row r="11" spans="2:23" x14ac:dyDescent="0.25">
      <c r="B11" s="11"/>
      <c r="U11" s="12"/>
    </row>
    <row r="12" spans="2:23" x14ac:dyDescent="0.25">
      <c r="B12" s="11"/>
      <c r="U12" s="12"/>
    </row>
    <row r="13" spans="2:23" x14ac:dyDescent="0.25">
      <c r="B13" s="11"/>
      <c r="U13" s="12"/>
    </row>
    <row r="14" spans="2:23" x14ac:dyDescent="0.25">
      <c r="B14" s="11"/>
      <c r="U14" s="12"/>
    </row>
    <row r="15" spans="2:23" x14ac:dyDescent="0.25">
      <c r="B15" s="11"/>
      <c r="U15" s="12"/>
    </row>
    <row r="16" spans="2:23" x14ac:dyDescent="0.25">
      <c r="B16" s="11"/>
      <c r="U16" s="12"/>
    </row>
    <row r="17" spans="2:21" x14ac:dyDescent="0.25">
      <c r="B17" s="11"/>
      <c r="U17" s="12"/>
    </row>
    <row r="18" spans="2:21" x14ac:dyDescent="0.25">
      <c r="B18" s="11"/>
      <c r="U18" s="12"/>
    </row>
    <row r="19" spans="2:21" x14ac:dyDescent="0.25">
      <c r="B19" s="11"/>
      <c r="U19" s="12"/>
    </row>
    <row r="20" spans="2:21" x14ac:dyDescent="0.25">
      <c r="B20" s="11"/>
      <c r="U20" s="12"/>
    </row>
    <row r="21" spans="2:21" x14ac:dyDescent="0.25">
      <c r="B21" s="11"/>
      <c r="U21" s="12"/>
    </row>
    <row r="22" spans="2:21" x14ac:dyDescent="0.25">
      <c r="B22" s="11"/>
      <c r="U22" s="12"/>
    </row>
    <row r="23" spans="2:21" x14ac:dyDescent="0.25">
      <c r="B23" s="11"/>
      <c r="U23" s="12"/>
    </row>
    <row r="24" spans="2:21" x14ac:dyDescent="0.25">
      <c r="B24" s="11"/>
      <c r="U24" s="12"/>
    </row>
    <row r="25" spans="2:21" x14ac:dyDescent="0.25">
      <c r="B25" s="11"/>
      <c r="U25" s="12"/>
    </row>
    <row r="26" spans="2:21" ht="15.75" thickBot="1" x14ac:dyDescent="0.3">
      <c r="B26" s="13"/>
      <c r="C26" s="14"/>
      <c r="D26" s="14"/>
      <c r="E26" s="14"/>
      <c r="F26" s="14"/>
      <c r="G26" s="14"/>
      <c r="H26" s="14"/>
      <c r="I26" s="14"/>
      <c r="J26" s="14"/>
      <c r="K26" s="14"/>
      <c r="L26" s="14"/>
      <c r="M26" s="14"/>
      <c r="N26" s="14"/>
      <c r="O26" s="14"/>
      <c r="P26" s="14"/>
      <c r="Q26" s="14"/>
      <c r="R26" s="14"/>
      <c r="S26" s="14"/>
      <c r="T26" s="14"/>
      <c r="U26" s="15"/>
    </row>
  </sheetData>
  <hyperlinks>
    <hyperlink ref="W5" r:id="rId1" xr:uid="{186E68E5-F4FB-4D23-880D-6004192B6E49}"/>
  </hyperlink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Detail1</vt:lpstr>
      <vt:lpstr>Students Performance </vt:lpstr>
      <vt:lpstr>Pivot Table 1st</vt:lpstr>
      <vt:lpstr>Pivot Table 2nd</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Kamal Gupta</dc:creator>
  <cp:lastModifiedBy>Kamal Gupta</cp:lastModifiedBy>
  <dcterms:created xsi:type="dcterms:W3CDTF">2026-02-13T08:20:13Z</dcterms:created>
  <dcterms:modified xsi:type="dcterms:W3CDTF">2026-05-06T09:00:48Z</dcterms:modified>
</cp:coreProperties>
</file>